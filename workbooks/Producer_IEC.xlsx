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13_ncr:1_{320C3674-8AF8-4417-BCDE-0DF358CFD800}" xr6:coauthVersionLast="47" xr6:coauthVersionMax="47" xr10:uidLastSave="{00000000-0000-0000-0000-000000000000}"/>
  <bookViews>
    <workbookView xWindow="32970" yWindow="1410" windowWidth="21600" windowHeight="11295" tabRatio="773" activeTab="1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</calcChain>
</file>

<file path=xl/sharedStrings.xml><?xml version="1.0" encoding="utf-8"?>
<sst xmlns="http://schemas.openxmlformats.org/spreadsheetml/2006/main" count="1629" uniqueCount="619">
  <si>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</si>
  <si>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</si>
  <si>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</si>
  <si>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</si>
  <si>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</si>
  <si>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</si>
  <si>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</si>
  <si>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</si>
  <si>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</si>
  <si>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</si>
  <si>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</si>
  <si>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</si>
  <si>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</si>
  <si>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</si>
  <si>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</si>
  <si>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</si>
  <si>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</si>
  <si>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</si>
  <si>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</si>
  <si>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</si>
  <si>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</si>
  <si>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</si>
  <si>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</si>
  <si>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</si>
  <si>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</si>
  <si>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</si>
  <si>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</si>
  <si>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</si>
  <si>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</si>
  <si>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</si>
  <si>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</si>
  <si>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</si>
  <si>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</si>
  <si>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</si>
  <si>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</si>
  <si>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</si>
  <si>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</si>
  <si>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</si>
  <si>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</si>
  <si>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</si>
  <si>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</si>
  <si>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</si>
  <si>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</si>
  <si>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</si>
  <si>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</si>
  <si>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</si>
  <si>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</si>
  <si>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</si>
  <si>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</si>
  <si>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</si>
  <si>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</si>
  <si>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</si>
  <si>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</si>
  <si>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</si>
  <si>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</si>
  <si>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</si>
  <si>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</si>
  <si>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</si>
  <si>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</si>
  <si>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</si>
  <si>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</si>
  <si>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</si>
  <si>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</si>
  <si>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</si>
  <si>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</si>
  <si>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</si>
  <si>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</si>
  <si>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</si>
  <si>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</si>
  <si>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</si>
  <si>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</si>
  <si>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</si>
  <si>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</si>
  <si>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</si>
  <si>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</si>
  <si>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</si>
  <si>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</si>
  <si>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</si>
  <si>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</si>
  <si>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</si>
  <si>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</si>
  <si>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</si>
  <si>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</si>
  <si>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</si>
  <si>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</si>
  <si>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</si>
  <si>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</si>
  <si>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</si>
  <si>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</si>
  <si>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</si>
  <si>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</si>
  <si>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</si>
  <si>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</si>
  <si>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</si>
  <si>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</si>
  <si>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</si>
  <si>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</si>
  <si>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</si>
  <si>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</si>
  <si>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</si>
  <si>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</si>
  <si>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</si>
  <si>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</si>
  <si>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</si>
  <si>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</si>
  <si>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</si>
  <si>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</si>
  <si>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</si>
  <si>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</si>
  <si>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</si>
  <si>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</si>
  <si>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</si>
  <si>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</si>
  <si>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</si>
  <si>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</si>
  <si>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</si>
  <si>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</si>
  <si>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</si>
  <si>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</si>
  <si>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</si>
  <si>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</si>
  <si>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</si>
  <si>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</si>
  <si>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</si>
  <si>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</si>
  <si>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</si>
  <si>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</si>
  <si>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</si>
  <si>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</si>
  <si>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</si>
  <si>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</si>
  <si>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</si>
  <si>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</si>
  <si>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</si>
  <si>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</si>
  <si>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</si>
  <si>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</si>
  <si>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</si>
  <si>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</si>
  <si>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</si>
  <si>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</si>
  <si>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</si>
  <si>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</si>
  <si>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</si>
  <si>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</si>
  <si>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</si>
  <si>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</si>
  <si>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</si>
  <si>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</si>
  <si>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</si>
  <si>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</si>
  <si>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</si>
  <si>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</si>
  <si>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</si>
  <si>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</si>
  <si>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</si>
  <si>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</si>
  <si>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</si>
  <si>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</si>
  <si>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</si>
  <si>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</si>
  <si>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</si>
  <si>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</si>
  <si>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</si>
  <si>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</si>
  <si>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</si>
  <si>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</si>
  <si>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</si>
  <si>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</si>
  <si>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</si>
  <si>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</si>
  <si>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</si>
  <si>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</si>
  <si>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</si>
  <si>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</si>
  <si>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</si>
  <si>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</si>
  <si>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</si>
  <si>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</si>
  <si>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</si>
  <si>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</si>
  <si>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</si>
  <si>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</si>
  <si>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</si>
  <si>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</si>
  <si>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</si>
  <si>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</si>
  <si>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</si>
  <si>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</si>
  <si>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</si>
  <si>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</si>
  <si>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</si>
  <si>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</si>
  <si>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</si>
  <si>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</si>
  <si>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</si>
  <si>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</si>
  <si>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</si>
  <si>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</si>
  <si>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</si>
  <si>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</si>
  <si>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</si>
  <si>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</si>
  <si>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</si>
  <si>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</si>
  <si>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</si>
  <si>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</si>
  <si>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</si>
  <si>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</si>
  <si>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</si>
  <si>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</si>
  <si>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</si>
  <si>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</si>
  <si>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</si>
  <si>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</si>
  <si>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</si>
  <si>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</si>
  <si>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</si>
  <si>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</si>
  <si>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</si>
  <si>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</si>
  <si>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</si>
  <si>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</si>
  <si>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</si>
  <si>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</si>
  <si>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</si>
  <si>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</si>
  <si>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</si>
  <si>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</si>
  <si>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</si>
  <si>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</si>
  <si>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</si>
  <si>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</si>
  <si>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</si>
  <si>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</si>
  <si>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</si>
  <si>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</si>
  <si>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</si>
  <si>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</si>
  <si>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</si>
  <si>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</si>
  <si>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</si>
  <si>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</si>
  <si>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</si>
  <si>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</si>
  <si>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</si>
  <si>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</si>
  <si>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</si>
  <si>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</si>
  <si>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</si>
  <si>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</si>
  <si>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</si>
  <si>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</si>
  <si>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</si>
  <si>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</si>
  <si>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</si>
  <si>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</si>
  <si>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</si>
  <si>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</si>
  <si>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</si>
  <si>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</si>
  <si>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</si>
  <si>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</si>
  <si>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</si>
  <si>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</si>
  <si>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</si>
  <si>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</si>
  <si>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</si>
  <si>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</si>
  <si>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</si>
  <si>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</si>
  <si>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</si>
  <si>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</si>
  <si>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</si>
  <si>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</si>
  <si>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</si>
  <si>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</si>
  <si>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</si>
  <si>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</si>
  <si>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</si>
  <si>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</si>
  <si>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</si>
  <si>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</si>
  <si>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</si>
  <si>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</si>
  <si>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</si>
  <si>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</si>
  <si>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</si>
  <si>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</si>
  <si>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</si>
  <si>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</si>
  <si>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</si>
  <si>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</si>
  <si>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</si>
  <si>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</si>
  <si>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</si>
  <si>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</si>
  <si>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</si>
  <si>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</si>
  <si>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</si>
  <si>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</si>
  <si>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</si>
  <si>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</si>
  <si>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</si>
  <si>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</si>
  <si>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</si>
  <si>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</si>
  <si>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</si>
  <si>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</si>
  <si>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</si>
  <si>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</si>
  <si>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</si>
  <si>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</si>
  <si>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</si>
  <si>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</si>
  <si>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</si>
  <si>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</si>
  <si>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</si>
  <si>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</si>
  <si>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</si>
  <si>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</si>
  <si>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</si>
  <si>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</si>
  <si>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</si>
  <si>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</si>
  <si>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</si>
  <si>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</si>
  <si>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</si>
  <si>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</si>
  <si>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</si>
  <si>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</si>
  <si>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</si>
  <si>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</si>
  <si>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</si>
  <si>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</si>
  <si>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</si>
  <si>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</si>
  <si>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</si>
  <si>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</si>
  <si>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</si>
  <si>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</si>
  <si>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</si>
  <si>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</si>
  <si>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</si>
  <si>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</si>
  <si>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</si>
  <si>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</si>
  <si>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</si>
  <si>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</si>
  <si>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</si>
  <si>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</si>
  <si>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</si>
  <si>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</si>
  <si>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</si>
  <si>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</si>
  <si>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</si>
  <si>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</si>
  <si>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</si>
  <si>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</si>
  <si>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</si>
  <si>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</si>
  <si>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</si>
  <si>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</si>
  <si>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</si>
  <si>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</si>
  <si>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</si>
  <si>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</si>
  <si>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</si>
  <si>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</si>
  <si>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</si>
  <si>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</si>
  <si>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</si>
  <si>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</si>
  <si>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</si>
  <si>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</si>
  <si>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</si>
  <si>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</si>
  <si>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</si>
  <si>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</si>
  <si>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</si>
  <si>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</si>
  <si>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</si>
  <si>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</si>
  <si>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</si>
  <si>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</si>
  <si>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</si>
  <si>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</si>
  <si>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</si>
  <si>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</si>
  <si>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</si>
  <si>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</si>
  <si>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</si>
  <si>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</si>
  <si>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</si>
  <si>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</si>
  <si>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</si>
  <si>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</si>
  <si>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</si>
  <si>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</si>
  <si>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</si>
  <si>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</si>
  <si>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</si>
  <si>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</si>
  <si>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</si>
  <si>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</si>
  <si>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</si>
  <si>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</si>
  <si>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</si>
  <si>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</si>
  <si>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</si>
  <si>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</si>
  <si>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</si>
  <si>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</si>
  <si>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</si>
  <si>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</si>
  <si>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</si>
  <si>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</si>
  <si>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</si>
  <si>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</si>
  <si>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</si>
  <si>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</si>
  <si>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</si>
  <si>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</si>
  <si>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</si>
  <si>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</si>
  <si>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</si>
  <si>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</si>
  <si>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</si>
  <si>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</si>
  <si>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</si>
  <si>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</si>
  <si>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</si>
  <si>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</si>
  <si>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</si>
  <si>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</si>
  <si>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</si>
  <si>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</si>
  <si>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</si>
  <si>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</si>
  <si>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</si>
  <si>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</si>
  <si>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</si>
  <si>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</si>
  <si>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</si>
  <si>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</si>
  <si>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</si>
  <si>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</si>
  <si>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</si>
  <si>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</si>
  <si>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</si>
  <si>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</si>
  <si>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</si>
  <si>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</si>
  <si>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</si>
  <si>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</si>
  <si>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</si>
  <si>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</si>
  <si>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</si>
  <si>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</si>
  <si>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</si>
  <si>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</si>
  <si>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</si>
  <si>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</si>
  <si>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</si>
  <si>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</si>
  <si>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</si>
  <si>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</si>
  <si>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</si>
  <si>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</si>
  <si>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</si>
  <si>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</si>
  <si>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</si>
  <si>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</si>
  <si>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</si>
  <si>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</si>
  <si>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</si>
  <si>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</si>
  <si>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</si>
  <si>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</si>
  <si>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</si>
  <si>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</si>
  <si>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</si>
  <si>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</si>
  <si>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</si>
  <si>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</si>
  <si>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</si>
  <si>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</si>
  <si>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</si>
  <si>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</si>
  <si>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</si>
  <si>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</si>
  <si>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</si>
  <si>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</si>
  <si>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</si>
  <si>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</si>
  <si>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</si>
  <si>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</si>
  <si>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</si>
  <si>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</si>
  <si>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</si>
  <si>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</si>
  <si>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</si>
  <si>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</si>
  <si>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</si>
  <si>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</si>
  <si>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</si>
  <si>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</si>
  <si>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</si>
  <si>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</si>
  <si>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</si>
  <si>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</si>
  <si>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</si>
  <si>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</si>
  <si>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</si>
  <si>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</si>
  <si>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</si>
  <si>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</si>
  <si>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</si>
  <si>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</si>
  <si>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</si>
  <si>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</si>
  <si>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</si>
  <si>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</si>
  <si>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</si>
  <si>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</si>
  <si>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</si>
  <si>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</si>
  <si>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</si>
  <si>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</si>
  <si>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</si>
  <si>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</si>
  <si>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</si>
  <si>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</si>
  <si>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</si>
  <si>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</si>
  <si>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</si>
  <si>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</si>
  <si>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</si>
  <si>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</si>
  <si>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</si>
  <si>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</si>
  <si>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</si>
  <si>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</si>
  <si>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</si>
  <si>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</si>
  <si>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</si>
  <si>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</si>
  <si>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</si>
  <si>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</si>
  <si>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</si>
  <si>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</si>
  <si>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</si>
  <si>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</si>
  <si>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</si>
  <si>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</si>
  <si>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</si>
  <si>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</si>
  <si>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</si>
  <si>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</si>
  <si>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</si>
  <si>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</si>
  <si>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</si>
  <si>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</si>
  <si>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</si>
  <si>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</si>
  <si>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</si>
  <si>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</si>
  <si>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</si>
  <si>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</si>
  <si>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</si>
  <si>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</si>
  <si>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</si>
  <si>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</si>
  <si>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</si>
  <si>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</si>
  <si>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</si>
  <si>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</si>
  <si>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</si>
  <si>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</si>
  <si>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</si>
  <si>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</si>
  <si>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</si>
  <si>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</si>
  <si>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</si>
  <si>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</si>
  <si>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</si>
  <si>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</si>
  <si>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</si>
  <si>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</si>
  <si>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</si>
  <si>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</si>
  <si>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</si>
  <si>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</si>
  <si>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</si>
  <si>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</si>
  <si>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</si>
  <si>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</si>
  <si>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</si>
  <si>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</si>
  <si>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</si>
  <si>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</si>
  <si>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</si>
  <si>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</si>
  <si>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</si>
  <si>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</si>
  <si>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</si>
  <si>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</si>
  <si>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</si>
  <si>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</si>
  <si>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</si>
  <si>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</si>
  <si>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</si>
  <si>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</si>
  <si>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</si>
  <si>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</si>
  <si>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</si>
  <si>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</si>
  <si>
    <t>Puissance active injectée par le convertisseur à son point de contrôle (nœud 1 ou 2)</t>
  </si>
  <si>
    <t>Puissance réactive injectée par le convertisseur à son point de contrôle (nœud 1 ou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</si>
</sst>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abSelected="1" topLeftCell="A15" zoomScale="92" zoomScaleNormal="85" workbookViewId="0">
      <selection activeCell="C22" sqref="C22:C32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71" t="s">
        <v>326</v>
      </c>
      <c r="B14" s="171"/>
      <c r="C14" s="171"/>
      <c r="D14" s="171"/>
      <c r="E14" s="171"/>
      <c r="F14" s="171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/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/>
      <c r="D20" t="s">
        <v>16</v>
      </c>
    </row>
    <row r="21" spans="1:5" ht="37.5" x14ac:dyDescent="0.3">
      <c r="A21" s="21" t="s">
        <v>17</v>
      </c>
      <c r="B21" s="25" t="s">
        <v>18</v>
      </c>
      <c r="C21" s="21" t="s">
        <v>19</v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/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/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/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/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/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/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/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/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/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/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/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5" zoomScale="85" zoomScaleNormal="85" workbookViewId="0">
      <selection activeCell="A14" sqref="A14:A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72" t="s">
        <v>70</v>
      </c>
    </row>
    <row r="8" spans="1:6" x14ac:dyDescent="0.3">
      <c r="A8" s="21" t="s">
        <v>71</v>
      </c>
      <c r="B8" s="21" t="s">
        <v>72</v>
      </c>
      <c r="F8" s="172"/>
    </row>
    <row r="9" spans="1:6" x14ac:dyDescent="0.3">
      <c r="A9" s="21" t="s">
        <v>73</v>
      </c>
      <c r="B9" s="21" t="s">
        <v>74</v>
      </c>
      <c r="F9" s="172"/>
    </row>
    <row r="10" spans="1:6" x14ac:dyDescent="0.3">
      <c r="A10" s="21" t="s">
        <v>75</v>
      </c>
      <c r="B10" s="21" t="s">
        <v>76</v>
      </c>
      <c r="F10" s="172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72" t="s">
        <v>78</v>
      </c>
      <c r="B14" s="21" t="s">
        <v>79</v>
      </c>
      <c r="C14" s="21" t="s">
        <v>80</v>
      </c>
      <c r="E14" s="21" t="s">
        <v>12</v>
      </c>
      <c r="F14" s="23" t="s">
        <v>81</v>
      </c>
    </row>
    <row r="15" spans="1:6" x14ac:dyDescent="0.3">
      <c r="A15" s="172"/>
      <c r="B15" s="21" t="s">
        <v>82</v>
      </c>
      <c r="D15" s="21" t="s">
        <v>60</v>
      </c>
      <c r="E15" s="21" t="s">
        <v>16</v>
      </c>
    </row>
    <row r="16" spans="1:6" x14ac:dyDescent="0.3">
      <c r="A16" s="172"/>
      <c r="B16" s="21" t="s">
        <v>83</v>
      </c>
      <c r="C16" s="21" t="s">
        <v>84</v>
      </c>
      <c r="D16" s="21">
        <v>63</v>
      </c>
      <c r="E16" s="21" t="s">
        <v>23</v>
      </c>
      <c r="F16" s="21" t="s">
        <v>85</v>
      </c>
    </row>
    <row r="17" spans="1:6" ht="30" customHeight="1" x14ac:dyDescent="0.3">
      <c r="A17" s="172"/>
      <c r="B17" s="21" t="s">
        <v>86</v>
      </c>
      <c r="C17" s="21" t="s">
        <v>87</v>
      </c>
      <c r="E17" s="21" t="s">
        <v>40</v>
      </c>
      <c r="F17" s="21" t="s">
        <v>88</v>
      </c>
    </row>
    <row r="18" spans="1:6" ht="36.75" customHeight="1" x14ac:dyDescent="0.3">
      <c r="A18" s="172"/>
      <c r="B18" s="21" t="s">
        <v>89</v>
      </c>
      <c r="C18" s="21" t="s">
        <v>90</v>
      </c>
      <c r="E18" s="21" t="s">
        <v>40</v>
      </c>
      <c r="F18" s="23" t="s">
        <v>91</v>
      </c>
    </row>
    <row r="19" spans="1:6" ht="30" customHeight="1" x14ac:dyDescent="0.3">
      <c r="A19" s="172"/>
      <c r="B19" s="21" t="s">
        <v>92</v>
      </c>
      <c r="C19" s="21" t="s">
        <v>93</v>
      </c>
      <c r="E19" s="21" t="s">
        <v>47</v>
      </c>
      <c r="F19" s="21" t="s">
        <v>94</v>
      </c>
    </row>
    <row r="20" spans="1:6" ht="31.5" customHeight="1" x14ac:dyDescent="0.3">
      <c r="A20" s="172"/>
      <c r="B20" s="21" t="s">
        <v>95</v>
      </c>
      <c r="C20" s="21" t="s">
        <v>96</v>
      </c>
      <c r="E20" s="21" t="s">
        <v>47</v>
      </c>
      <c r="F20" s="21" t="s">
        <v>97</v>
      </c>
    </row>
    <row r="21" spans="1:6" ht="99" customHeight="1" x14ac:dyDescent="0.3">
      <c r="A21" s="172" t="s">
        <v>98</v>
      </c>
      <c r="B21" s="21" t="s">
        <v>99</v>
      </c>
      <c r="C21" s="21" t="s">
        <v>100</v>
      </c>
      <c r="E21" s="23" t="s">
        <v>101</v>
      </c>
      <c r="F21" s="23" t="s">
        <v>102</v>
      </c>
    </row>
    <row r="22" spans="1:6" ht="36.75" customHeight="1" x14ac:dyDescent="0.3">
      <c r="A22" s="172"/>
      <c r="B22" s="21" t="s">
        <v>103</v>
      </c>
      <c r="C22" s="21" t="s">
        <v>104</v>
      </c>
      <c r="E22" s="21" t="s">
        <v>16</v>
      </c>
    </row>
    <row r="23" spans="1:6" x14ac:dyDescent="0.3">
      <c r="A23" s="172"/>
      <c r="B23" s="21" t="s">
        <v>105</v>
      </c>
      <c r="C23" s="21" t="s">
        <v>106</v>
      </c>
      <c r="E23" s="21" t="s">
        <v>16</v>
      </c>
    </row>
    <row r="24" spans="1:6" x14ac:dyDescent="0.3">
      <c r="A24" s="172"/>
      <c r="B24" s="21" t="s">
        <v>107</v>
      </c>
      <c r="C24" s="21" t="s">
        <v>108</v>
      </c>
      <c r="E24" s="21" t="s">
        <v>109</v>
      </c>
      <c r="F24" s="21" t="s">
        <v>110</v>
      </c>
    </row>
    <row r="25" spans="1:6" ht="36" customHeight="1" x14ac:dyDescent="0.3">
      <c r="A25" s="172"/>
      <c r="B25" s="21" t="s">
        <v>111</v>
      </c>
      <c r="C25" s="21" t="s">
        <v>112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E27" s="21" t="s">
        <v>16</v>
      </c>
      <c r="F27" s="23" t="s">
        <v>118</v>
      </c>
    </row>
    <row r="28" spans="1:6" ht="54.75" customHeight="1" x14ac:dyDescent="0.3">
      <c r="A28" s="172" t="s">
        <v>119</v>
      </c>
      <c r="B28" s="21" t="s">
        <v>120</v>
      </c>
      <c r="C28" s="21" t="s">
        <v>121</v>
      </c>
      <c r="E28" s="21" t="s">
        <v>23</v>
      </c>
      <c r="F28" s="24"/>
    </row>
    <row r="29" spans="1:6" ht="18.75" customHeight="1" x14ac:dyDescent="0.3">
      <c r="A29" s="172"/>
      <c r="B29" s="21" t="s">
        <v>122</v>
      </c>
      <c r="C29" s="21" t="s">
        <v>123</v>
      </c>
      <c r="E29" s="21" t="s">
        <v>12</v>
      </c>
    </row>
    <row r="30" spans="1:6" ht="48.75" customHeight="1" x14ac:dyDescent="0.3">
      <c r="A30" s="172"/>
      <c r="B30" s="21" t="s">
        <v>124</v>
      </c>
      <c r="C30" s="21" t="s">
        <v>125</v>
      </c>
      <c r="E30" s="21" t="s">
        <v>126</v>
      </c>
      <c r="F30" s="23" t="s">
        <v>31</v>
      </c>
    </row>
    <row r="31" spans="1:6" ht="56.25" x14ac:dyDescent="0.3">
      <c r="A31" s="172"/>
      <c r="B31" s="21" t="s">
        <v>127</v>
      </c>
      <c r="C31" s="21" t="s">
        <v>128</v>
      </c>
      <c r="E31" s="23" t="s">
        <v>129</v>
      </c>
      <c r="F31" s="23"/>
    </row>
    <row r="32" spans="1:6" x14ac:dyDescent="0.3">
      <c r="A32" s="172"/>
      <c r="B32" s="21" t="s">
        <v>130</v>
      </c>
      <c r="C32" s="21" t="s">
        <v>131</v>
      </c>
      <c r="E32" s="21" t="s">
        <v>16</v>
      </c>
    </row>
    <row r="33" spans="1:6" x14ac:dyDescent="0.3">
      <c r="A33" s="172"/>
      <c r="B33" s="21" t="s">
        <v>132</v>
      </c>
      <c r="C33" s="21" t="s">
        <v>133</v>
      </c>
      <c r="E33" s="21" t="s">
        <v>40</v>
      </c>
    </row>
    <row r="34" spans="1:6" x14ac:dyDescent="0.3">
      <c r="A34" s="172"/>
      <c r="B34" s="21" t="s">
        <v>134</v>
      </c>
      <c r="C34" s="21" t="s">
        <v>135</v>
      </c>
      <c r="E34" s="21" t="s">
        <v>47</v>
      </c>
    </row>
    <row r="35" spans="1:6" x14ac:dyDescent="0.3">
      <c r="A35" s="172"/>
      <c r="B35" s="21" t="s">
        <v>136</v>
      </c>
      <c r="C35" s="21" t="s">
        <v>137</v>
      </c>
      <c r="E35" s="21" t="s">
        <v>16</v>
      </c>
      <c r="F35" s="27" t="s">
        <v>138</v>
      </c>
    </row>
    <row r="36" spans="1:6" x14ac:dyDescent="0.3">
      <c r="A36" s="172"/>
      <c r="B36" s="21" t="s">
        <v>139</v>
      </c>
      <c r="C36" s="21" t="s">
        <v>140</v>
      </c>
      <c r="E36" s="21" t="s">
        <v>16</v>
      </c>
      <c r="F36" s="27"/>
    </row>
    <row r="37" spans="1:6" ht="90.75" customHeight="1" x14ac:dyDescent="0.3">
      <c r="A37" s="173" t="s">
        <v>141</v>
      </c>
      <c r="B37" s="21" t="s">
        <v>142</v>
      </c>
      <c r="C37" s="21" t="s">
        <v>143</v>
      </c>
      <c r="E37" s="21" t="s">
        <v>144</v>
      </c>
    </row>
    <row r="38" spans="1:6" ht="26.25" customHeight="1" x14ac:dyDescent="0.3">
      <c r="A38" s="173"/>
      <c r="B38" s="21" t="s">
        <v>145</v>
      </c>
      <c r="C38" s="21" t="s">
        <v>146</v>
      </c>
      <c r="E38" s="21" t="s">
        <v>144</v>
      </c>
    </row>
    <row r="39" spans="1:6" ht="26.25" customHeight="1" x14ac:dyDescent="0.3">
      <c r="A39" s="173"/>
      <c r="B39" s="21" t="s">
        <v>147</v>
      </c>
      <c r="C39" s="21" t="s">
        <v>148</v>
      </c>
      <c r="E39" s="21" t="s">
        <v>149</v>
      </c>
    </row>
    <row r="40" spans="1:6" ht="26.25" customHeight="1" x14ac:dyDescent="0.3">
      <c r="A40" s="173"/>
      <c r="B40" s="21" t="s">
        <v>150</v>
      </c>
      <c r="C40" s="21" t="s">
        <v>151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:XFD10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49" t="s">
        <v>152</v>
      </c>
      <c r="B1" s="150"/>
      <c r="C1" s="150"/>
      <c r="D1" s="150"/>
      <c r="E1" s="151"/>
      <c r="F1" s="56" t="s">
        <v>153</v>
      </c>
    </row>
    <row r="2" spans="1:21" ht="31.5" customHeight="1" x14ac:dyDescent="0.25">
      <c r="A2" s="152" t="s">
        <v>154</v>
      </c>
      <c r="B2" s="153"/>
      <c r="C2" s="37" t="s">
        <v>155</v>
      </c>
      <c r="D2" s="163" t="s">
        <v>156</v>
      </c>
      <c r="E2" s="164"/>
      <c r="F2" s="5"/>
      <c r="J2" s="147"/>
      <c r="K2" s="148"/>
      <c r="L2" s="1"/>
    </row>
    <row r="3" spans="1:21" ht="31.5" customHeight="1" x14ac:dyDescent="0.25">
      <c r="A3" s="154" t="s">
        <v>157</v>
      </c>
      <c r="B3" s="155"/>
      <c r="C3" s="36" t="s">
        <v>158</v>
      </c>
      <c r="D3" s="165"/>
      <c r="E3" s="166"/>
      <c r="F3" s="5"/>
      <c r="M3" s="5"/>
    </row>
    <row r="4" spans="1:21" ht="31.5" customHeight="1" x14ac:dyDescent="0.25">
      <c r="A4" s="154" t="s">
        <v>159</v>
      </c>
      <c r="B4" s="155"/>
      <c r="C4" s="36" t="s">
        <v>160</v>
      </c>
      <c r="D4" s="165"/>
      <c r="E4" s="166"/>
      <c r="F4" s="5"/>
      <c r="M4" s="5"/>
    </row>
    <row r="5" spans="1:21" ht="31.5" customHeight="1" x14ac:dyDescent="0.25">
      <c r="A5" s="154" t="s">
        <v>161</v>
      </c>
      <c r="B5" s="155"/>
      <c r="C5" s="36" t="s">
        <v>162</v>
      </c>
      <c r="D5" s="165"/>
      <c r="E5" s="166"/>
      <c r="F5" s="5"/>
      <c r="M5" s="5"/>
    </row>
    <row r="6" spans="1:21" ht="31.5" customHeight="1" x14ac:dyDescent="0.25">
      <c r="A6" s="154" t="s">
        <v>163</v>
      </c>
      <c r="B6" s="155"/>
      <c r="C6" s="36" t="s">
        <v>162</v>
      </c>
      <c r="D6" s="165"/>
      <c r="E6" s="166"/>
      <c r="F6" s="5"/>
      <c r="M6" s="5"/>
    </row>
    <row r="7" spans="1:21" ht="31.5" customHeight="1" x14ac:dyDescent="0.25">
      <c r="A7" s="154" t="s">
        <v>617</v>
      </c>
      <c r="B7" s="155"/>
      <c r="C7" s="36" t="s">
        <v>162</v>
      </c>
      <c r="D7" s="165"/>
      <c r="E7" s="166"/>
      <c r="F7" s="5"/>
      <c r="M7" s="5"/>
    </row>
    <row r="8" spans="1:21" ht="31.5" customHeight="1" x14ac:dyDescent="0.25">
      <c r="A8" s="154" t="s">
        <v>618</v>
      </c>
      <c r="B8" s="155"/>
      <c r="C8" s="36" t="s">
        <v>162</v>
      </c>
      <c r="D8" s="165"/>
      <c r="E8" s="166"/>
      <c r="F8" s="5"/>
      <c r="M8" s="5"/>
    </row>
    <row r="9" spans="1:21" ht="31.5" customHeight="1" x14ac:dyDescent="0.25">
      <c r="A9" s="154" t="s">
        <v>164</v>
      </c>
      <c r="B9" s="155"/>
      <c r="C9" s="36" t="s">
        <v>165</v>
      </c>
      <c r="D9" s="165"/>
      <c r="E9" s="166"/>
      <c r="F9" s="5"/>
      <c r="M9" s="5"/>
    </row>
    <row r="10" spans="1:21" ht="31.5" customHeight="1" x14ac:dyDescent="0.25">
      <c r="A10" s="169" t="s">
        <v>166</v>
      </c>
      <c r="B10" s="170"/>
      <c r="C10" s="41" t="s">
        <v>165</v>
      </c>
      <c r="D10" s="167"/>
      <c r="E10" s="168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167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168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3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6" t="s">
        <v>169</v>
      </c>
      <c r="B15" s="157"/>
      <c r="C15" s="157"/>
      <c r="D15" s="157"/>
      <c r="E15" s="157"/>
      <c r="F15" s="157"/>
      <c r="G15" s="158"/>
      <c r="H15" s="159"/>
      <c r="I15" s="160"/>
      <c r="J15" s="161"/>
      <c r="K15" s="162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4"/>
      <c r="B16" s="125"/>
      <c r="C16" s="142" t="s">
        <v>170</v>
      </c>
      <c r="D16" s="143"/>
      <c r="E16" s="143"/>
      <c r="F16" s="143"/>
      <c r="G16" s="126" t="s">
        <v>171</v>
      </c>
      <c r="H16" s="144" t="s">
        <v>612</v>
      </c>
      <c r="I16" s="145"/>
      <c r="J16" s="145"/>
      <c r="K16" s="14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172</v>
      </c>
      <c r="B17" s="43" t="s">
        <v>173</v>
      </c>
      <c r="C17" s="65" t="s">
        <v>174</v>
      </c>
      <c r="D17" s="65" t="s">
        <v>175</v>
      </c>
      <c r="E17" s="65" t="s">
        <v>176</v>
      </c>
      <c r="F17" s="69" t="s">
        <v>177</v>
      </c>
      <c r="G17" s="54"/>
      <c r="H17" s="65" t="s">
        <v>613</v>
      </c>
      <c r="I17" s="65" t="s">
        <v>614</v>
      </c>
      <c r="J17" s="65" t="s">
        <v>615</v>
      </c>
      <c r="K17" s="119" t="s">
        <v>616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178</v>
      </c>
      <c r="C18" s="66" t="s">
        <v>25</v>
      </c>
      <c r="D18" s="66" t="s">
        <v>179</v>
      </c>
      <c r="E18" s="66">
        <v>0</v>
      </c>
      <c r="F18" s="70">
        <v>3</v>
      </c>
      <c r="G18" s="51"/>
      <c r="H18" s="66"/>
      <c r="I18" s="66"/>
      <c r="J18" s="66"/>
      <c r="K18" s="120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178</v>
      </c>
      <c r="C19" s="66" t="s">
        <v>25</v>
      </c>
      <c r="D19" s="66" t="s">
        <v>179</v>
      </c>
      <c r="E19" s="66">
        <v>0</v>
      </c>
      <c r="F19" s="70">
        <v>10</v>
      </c>
      <c r="G19" s="51"/>
      <c r="H19" s="66"/>
      <c r="I19" s="66"/>
      <c r="J19" s="66"/>
      <c r="K19" s="120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178</v>
      </c>
      <c r="C20" s="66" t="s">
        <v>25</v>
      </c>
      <c r="D20" s="66" t="s">
        <v>179</v>
      </c>
      <c r="E20" s="66" t="s">
        <v>49</v>
      </c>
      <c r="F20" s="70">
        <v>3</v>
      </c>
      <c r="G20" s="51"/>
      <c r="H20" s="66"/>
      <c r="I20" s="66"/>
      <c r="J20" s="66"/>
      <c r="K20" s="120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180</v>
      </c>
      <c r="C21" s="66" t="s">
        <v>25</v>
      </c>
      <c r="D21" s="66" t="s">
        <v>179</v>
      </c>
      <c r="E21" s="66">
        <v>0</v>
      </c>
      <c r="F21" s="70">
        <v>3</v>
      </c>
      <c r="G21" s="51"/>
      <c r="H21" s="66"/>
      <c r="I21" s="66"/>
      <c r="J21" s="66"/>
      <c r="K21" s="120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181</v>
      </c>
      <c r="C22" s="66" t="s">
        <v>25</v>
      </c>
      <c r="D22" s="66" t="s">
        <v>179</v>
      </c>
      <c r="E22" s="66">
        <v>0</v>
      </c>
      <c r="F22" s="70">
        <v>3</v>
      </c>
      <c r="G22" s="51"/>
      <c r="H22" s="66"/>
      <c r="I22" s="66"/>
      <c r="J22" s="66"/>
      <c r="K22" s="120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182</v>
      </c>
      <c r="C23" s="66" t="s">
        <v>25</v>
      </c>
      <c r="D23" s="66" t="s">
        <v>179</v>
      </c>
      <c r="E23" s="66" t="s">
        <v>49</v>
      </c>
      <c r="F23" s="70">
        <v>3</v>
      </c>
      <c r="G23" s="51"/>
      <c r="H23" s="66"/>
      <c r="I23" s="66"/>
      <c r="J23" s="66"/>
      <c r="K23" s="120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183</v>
      </c>
      <c r="C24" s="73" t="s">
        <v>25</v>
      </c>
      <c r="D24" s="67" t="s">
        <v>179</v>
      </c>
      <c r="E24" s="67">
        <v>0</v>
      </c>
      <c r="F24" s="71">
        <v>3</v>
      </c>
      <c r="G24" s="16"/>
      <c r="H24" s="73"/>
      <c r="I24" s="67"/>
      <c r="J24" s="67"/>
      <c r="K24" s="121"/>
      <c r="L24" s="18" t="s">
        <v>184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185</v>
      </c>
      <c r="C25" s="66" t="s">
        <v>25</v>
      </c>
      <c r="D25" s="66" t="s">
        <v>179</v>
      </c>
      <c r="E25" s="66">
        <v>0</v>
      </c>
      <c r="F25" s="70">
        <v>3</v>
      </c>
      <c r="G25" s="51"/>
      <c r="H25" s="66"/>
      <c r="I25" s="66"/>
      <c r="J25" s="66"/>
      <c r="K25" s="120"/>
      <c r="L25" s="5"/>
    </row>
    <row r="26" spans="1:21" ht="45" x14ac:dyDescent="0.25">
      <c r="A26" s="45">
        <v>16</v>
      </c>
      <c r="B26" s="10" t="s">
        <v>186</v>
      </c>
      <c r="C26" s="66" t="s">
        <v>25</v>
      </c>
      <c r="D26" s="66" t="s">
        <v>179</v>
      </c>
      <c r="E26" s="66">
        <v>0</v>
      </c>
      <c r="F26" s="70">
        <v>3</v>
      </c>
      <c r="G26" s="51"/>
      <c r="H26" s="66"/>
      <c r="I26" s="66"/>
      <c r="J26" s="66"/>
      <c r="K26" s="120"/>
      <c r="L26" s="5"/>
    </row>
    <row r="27" spans="1:21" ht="30" x14ac:dyDescent="0.25">
      <c r="A27" s="45">
        <v>17</v>
      </c>
      <c r="B27" s="10" t="s">
        <v>187</v>
      </c>
      <c r="C27" s="66" t="s">
        <v>188</v>
      </c>
      <c r="D27" s="66" t="s">
        <v>189</v>
      </c>
      <c r="E27" s="66" t="s">
        <v>49</v>
      </c>
      <c r="F27" s="70">
        <v>10</v>
      </c>
      <c r="G27" s="51"/>
      <c r="H27" s="66"/>
      <c r="I27" s="66"/>
      <c r="J27" s="66"/>
      <c r="K27" s="120"/>
      <c r="L27" s="5"/>
    </row>
    <row r="28" spans="1:21" ht="30" x14ac:dyDescent="0.25">
      <c r="A28" s="45">
        <v>18</v>
      </c>
      <c r="B28" s="10" t="s">
        <v>190</v>
      </c>
      <c r="C28" s="66" t="s">
        <v>191</v>
      </c>
      <c r="D28" s="66" t="s">
        <v>189</v>
      </c>
      <c r="E28" s="66" t="s">
        <v>45</v>
      </c>
      <c r="F28" s="70">
        <v>10</v>
      </c>
      <c r="G28" s="51"/>
      <c r="H28" s="66"/>
      <c r="I28" s="66"/>
      <c r="J28" s="66"/>
      <c r="K28" s="120"/>
      <c r="L28" s="5"/>
    </row>
    <row r="29" spans="1:21" ht="45" x14ac:dyDescent="0.25">
      <c r="A29" s="45">
        <v>23</v>
      </c>
      <c r="B29" s="10" t="s">
        <v>192</v>
      </c>
      <c r="C29" s="66" t="s">
        <v>25</v>
      </c>
      <c r="D29" s="66" t="s">
        <v>179</v>
      </c>
      <c r="E29" s="66">
        <v>0</v>
      </c>
      <c r="F29" s="70">
        <v>10</v>
      </c>
      <c r="G29" s="51"/>
      <c r="H29" s="66"/>
      <c r="I29" s="66"/>
      <c r="J29" s="66"/>
      <c r="K29" s="120"/>
      <c r="L29" s="5"/>
    </row>
    <row r="30" spans="1:21" ht="30.75" thickBot="1" x14ac:dyDescent="0.3">
      <c r="A30" s="47">
        <v>24</v>
      </c>
      <c r="B30" s="48" t="s">
        <v>193</v>
      </c>
      <c r="C30" s="68" t="s">
        <v>25</v>
      </c>
      <c r="D30" s="68" t="s">
        <v>179</v>
      </c>
      <c r="E30" s="68">
        <v>0</v>
      </c>
      <c r="F30" s="72">
        <v>10</v>
      </c>
      <c r="G30" s="52"/>
      <c r="H30" s="68"/>
      <c r="I30" s="68"/>
      <c r="J30" s="68"/>
      <c r="K30" s="122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4" t="s">
        <v>152</v>
      </c>
      <c r="B1" s="175"/>
      <c r="C1" s="176"/>
    </row>
    <row r="2" spans="1:12" x14ac:dyDescent="0.25">
      <c r="A2" s="58"/>
      <c r="B2" s="60"/>
      <c r="C2" s="61"/>
      <c r="E2" s="64" t="s">
        <v>194</v>
      </c>
      <c r="I2" s="147"/>
      <c r="J2" s="148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195</v>
      </c>
      <c r="B4" s="8" t="s">
        <v>196</v>
      </c>
      <c r="C4" s="39"/>
      <c r="I4" s="11"/>
      <c r="L4" s="12"/>
    </row>
    <row r="5" spans="1:12" ht="43.5" customHeight="1" x14ac:dyDescent="0.25">
      <c r="A5" s="38" t="s">
        <v>197</v>
      </c>
      <c r="B5" s="8" t="s">
        <v>198</v>
      </c>
      <c r="C5" s="39"/>
      <c r="I5" s="11"/>
      <c r="L5" s="12"/>
    </row>
    <row r="6" spans="1:12" ht="43.5" customHeight="1" x14ac:dyDescent="0.25">
      <c r="A6" s="38" t="s">
        <v>199</v>
      </c>
      <c r="B6" s="8" t="s">
        <v>198</v>
      </c>
      <c r="C6" s="39"/>
      <c r="I6" s="11"/>
      <c r="L6" s="12"/>
    </row>
    <row r="7" spans="1:12" ht="43.5" customHeight="1" x14ac:dyDescent="0.25">
      <c r="A7" s="38" t="s">
        <v>200</v>
      </c>
      <c r="B7" s="8" t="s">
        <v>198</v>
      </c>
      <c r="C7" s="39"/>
      <c r="I7" s="11"/>
      <c r="L7" s="12"/>
    </row>
    <row r="8" spans="1:12" ht="43.5" customHeight="1" x14ac:dyDescent="0.25">
      <c r="A8" s="38" t="s">
        <v>201</v>
      </c>
      <c r="B8" s="8" t="s">
        <v>202</v>
      </c>
      <c r="C8" s="39"/>
      <c r="I8" s="11"/>
      <c r="L8" s="12"/>
    </row>
    <row r="9" spans="1:12" ht="43.5" customHeight="1" x14ac:dyDescent="0.25">
      <c r="A9" s="38" t="s">
        <v>203</v>
      </c>
      <c r="B9" s="8" t="s">
        <v>204</v>
      </c>
      <c r="C9" s="39"/>
      <c r="I9" s="11"/>
      <c r="L9" s="12"/>
    </row>
    <row r="10" spans="1:12" ht="43.5" customHeight="1" x14ac:dyDescent="0.25">
      <c r="A10" s="38" t="s">
        <v>205</v>
      </c>
      <c r="B10" s="8" t="s">
        <v>196</v>
      </c>
      <c r="C10" s="39"/>
      <c r="I10" s="11"/>
      <c r="L10" s="12"/>
    </row>
    <row r="11" spans="1:12" ht="43.5" customHeight="1" x14ac:dyDescent="0.25">
      <c r="A11" s="38" t="s">
        <v>206</v>
      </c>
      <c r="B11" s="8" t="s">
        <v>196</v>
      </c>
      <c r="C11" s="39"/>
      <c r="I11" s="11"/>
      <c r="L11" s="12"/>
    </row>
    <row r="12" spans="1:12" ht="43.5" customHeight="1" x14ac:dyDescent="0.25">
      <c r="A12" s="38" t="s">
        <v>207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208</v>
      </c>
      <c r="B13" s="57" t="s">
        <v>209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167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168</v>
      </c>
      <c r="I17" s="13"/>
      <c r="J17" s="13"/>
      <c r="K17" s="13"/>
      <c r="L17" s="1"/>
    </row>
    <row r="18" spans="1:14" ht="15.75" thickBot="1" x14ac:dyDescent="0.3">
      <c r="A18" s="156" t="s">
        <v>169</v>
      </c>
      <c r="B18" s="157"/>
      <c r="C18" s="157"/>
      <c r="D18" s="157"/>
      <c r="E18" s="157"/>
      <c r="F18" s="157"/>
      <c r="G18" s="158"/>
      <c r="H18" s="180"/>
      <c r="I18" s="181"/>
      <c r="J18" s="182"/>
      <c r="K18" s="182"/>
      <c r="L18" s="162"/>
      <c r="M18" s="5"/>
      <c r="N18" s="3"/>
    </row>
    <row r="19" spans="1:14" ht="30.75" thickBot="1" x14ac:dyDescent="0.3">
      <c r="A19" s="185"/>
      <c r="B19" s="183"/>
      <c r="C19" s="143" t="s">
        <v>170</v>
      </c>
      <c r="D19" s="143"/>
      <c r="E19" s="143"/>
      <c r="F19" s="183"/>
      <c r="G19" s="184"/>
      <c r="H19" s="129" t="s">
        <v>171</v>
      </c>
      <c r="I19" s="177" t="s">
        <v>612</v>
      </c>
      <c r="J19" s="178"/>
      <c r="K19" s="178"/>
      <c r="L19" s="179"/>
      <c r="M19" s="5"/>
      <c r="N19" s="3"/>
    </row>
    <row r="20" spans="1:14" x14ac:dyDescent="0.25">
      <c r="A20" s="53" t="s">
        <v>210</v>
      </c>
      <c r="B20" s="43" t="s">
        <v>173</v>
      </c>
      <c r="C20" s="43" t="s">
        <v>211</v>
      </c>
      <c r="D20" s="43" t="s">
        <v>212</v>
      </c>
      <c r="E20" s="43" t="s">
        <v>213</v>
      </c>
      <c r="F20" s="43" t="s">
        <v>214</v>
      </c>
      <c r="G20" s="127" t="s">
        <v>177</v>
      </c>
      <c r="H20" s="130"/>
      <c r="I20" s="134" t="s">
        <v>613</v>
      </c>
      <c r="J20" s="135" t="s">
        <v>614</v>
      </c>
      <c r="K20" s="135" t="s">
        <v>615</v>
      </c>
      <c r="L20" s="136" t="s">
        <v>616</v>
      </c>
      <c r="M20" s="5"/>
      <c r="N20" s="3"/>
    </row>
    <row r="21" spans="1:14" ht="30" x14ac:dyDescent="0.25">
      <c r="A21" s="62" t="s">
        <v>215</v>
      </c>
      <c r="B21" s="10" t="s">
        <v>216</v>
      </c>
      <c r="C21" s="7" t="s">
        <v>217</v>
      </c>
      <c r="D21" s="7" t="s">
        <v>218</v>
      </c>
      <c r="E21" s="7">
        <v>0</v>
      </c>
      <c r="F21" s="7" t="s">
        <v>219</v>
      </c>
      <c r="G21" s="36" t="s">
        <v>232</v>
      </c>
      <c r="H21" s="131"/>
      <c r="I21" s="137"/>
      <c r="J21" s="133"/>
      <c r="K21" s="133"/>
      <c r="L21" s="138"/>
      <c r="M21" s="5"/>
      <c r="N21" s="3"/>
    </row>
    <row r="22" spans="1:14" ht="30" x14ac:dyDescent="0.25">
      <c r="A22" s="62" t="s">
        <v>215</v>
      </c>
      <c r="B22" s="10" t="s">
        <v>216</v>
      </c>
      <c r="C22" s="7" t="s">
        <v>217</v>
      </c>
      <c r="D22" s="7" t="s">
        <v>218</v>
      </c>
      <c r="E22" s="7">
        <v>0</v>
      </c>
      <c r="F22" s="7" t="s">
        <v>220</v>
      </c>
      <c r="G22" s="36" t="s">
        <v>232</v>
      </c>
      <c r="H22" s="131"/>
      <c r="I22" s="137"/>
      <c r="J22" s="133"/>
      <c r="K22" s="133"/>
      <c r="L22" s="138"/>
      <c r="M22" s="12"/>
    </row>
    <row r="23" spans="1:14" ht="30" x14ac:dyDescent="0.25">
      <c r="A23" s="62" t="s">
        <v>215</v>
      </c>
      <c r="B23" s="10" t="s">
        <v>221</v>
      </c>
      <c r="C23" s="7" t="s">
        <v>217</v>
      </c>
      <c r="D23" s="7" t="s">
        <v>218</v>
      </c>
      <c r="E23" s="7">
        <v>0</v>
      </c>
      <c r="F23" s="7" t="s">
        <v>220</v>
      </c>
      <c r="G23" s="36" t="s">
        <v>232</v>
      </c>
      <c r="H23" s="131"/>
      <c r="I23" s="137"/>
      <c r="J23" s="133"/>
      <c r="K23" s="133"/>
      <c r="L23" s="138"/>
      <c r="M23" s="12"/>
    </row>
    <row r="24" spans="1:14" ht="30" x14ac:dyDescent="0.25">
      <c r="A24" s="62" t="s">
        <v>215</v>
      </c>
      <c r="B24" s="10" t="s">
        <v>222</v>
      </c>
      <c r="C24" s="7" t="s">
        <v>217</v>
      </c>
      <c r="D24" s="7" t="s">
        <v>223</v>
      </c>
      <c r="E24" s="7">
        <v>0</v>
      </c>
      <c r="F24" s="7" t="s">
        <v>220</v>
      </c>
      <c r="G24" s="36" t="s">
        <v>232</v>
      </c>
      <c r="H24" s="131"/>
      <c r="I24" s="137"/>
      <c r="J24" s="133"/>
      <c r="K24" s="133"/>
      <c r="L24" s="138"/>
      <c r="M24" s="12"/>
    </row>
    <row r="25" spans="1:14" ht="30" x14ac:dyDescent="0.25">
      <c r="A25" s="62" t="s">
        <v>215</v>
      </c>
      <c r="B25" s="10" t="s">
        <v>224</v>
      </c>
      <c r="C25" s="7" t="s">
        <v>217</v>
      </c>
      <c r="D25" s="7" t="s">
        <v>218</v>
      </c>
      <c r="E25" s="7">
        <v>0</v>
      </c>
      <c r="F25" s="7" t="s">
        <v>220</v>
      </c>
      <c r="G25" s="36" t="s">
        <v>232</v>
      </c>
      <c r="H25" s="131"/>
      <c r="I25" s="137"/>
      <c r="J25" s="133"/>
      <c r="K25" s="133"/>
      <c r="L25" s="138"/>
      <c r="M25" s="12"/>
    </row>
    <row r="26" spans="1:14" ht="30" x14ac:dyDescent="0.25">
      <c r="A26" s="62" t="s">
        <v>215</v>
      </c>
      <c r="B26" s="10" t="s">
        <v>225</v>
      </c>
      <c r="C26" s="7" t="s">
        <v>217</v>
      </c>
      <c r="D26" s="7" t="s">
        <v>218</v>
      </c>
      <c r="E26" s="7" t="s">
        <v>226</v>
      </c>
      <c r="F26" s="7" t="s">
        <v>220</v>
      </c>
      <c r="G26" s="36" t="s">
        <v>232</v>
      </c>
      <c r="H26" s="131"/>
      <c r="I26" s="137"/>
      <c r="J26" s="133"/>
      <c r="K26" s="133"/>
      <c r="L26" s="138"/>
      <c r="M26" s="12"/>
    </row>
    <row r="27" spans="1:14" x14ac:dyDescent="0.25">
      <c r="A27" s="62" t="s">
        <v>227</v>
      </c>
      <c r="B27" s="10" t="s">
        <v>228</v>
      </c>
      <c r="C27" s="7" t="s">
        <v>217</v>
      </c>
      <c r="D27" s="7" t="s">
        <v>218</v>
      </c>
      <c r="E27" s="7">
        <v>0</v>
      </c>
      <c r="F27" s="7" t="s">
        <v>229</v>
      </c>
      <c r="G27" s="36" t="s">
        <v>232</v>
      </c>
      <c r="H27" s="131"/>
      <c r="I27" s="137"/>
      <c r="J27" s="133"/>
      <c r="K27" s="133"/>
      <c r="L27" s="138"/>
      <c r="M27" s="12"/>
    </row>
    <row r="28" spans="1:14" x14ac:dyDescent="0.25">
      <c r="A28" s="62" t="s">
        <v>230</v>
      </c>
      <c r="B28" s="10" t="s">
        <v>231</v>
      </c>
      <c r="C28" s="7" t="s">
        <v>217</v>
      </c>
      <c r="D28" s="7" t="s">
        <v>218</v>
      </c>
      <c r="E28" s="7">
        <v>0</v>
      </c>
      <c r="F28" s="7" t="s">
        <v>232</v>
      </c>
      <c r="G28" s="36" t="s">
        <v>232</v>
      </c>
      <c r="H28" s="131"/>
      <c r="I28" s="137"/>
      <c r="J28" s="133"/>
      <c r="K28" s="133"/>
      <c r="L28" s="138"/>
      <c r="M28" s="12"/>
    </row>
    <row r="29" spans="1:14" x14ac:dyDescent="0.25">
      <c r="A29" s="62" t="s">
        <v>233</v>
      </c>
      <c r="B29" s="10" t="s">
        <v>234</v>
      </c>
      <c r="C29" s="7" t="s">
        <v>217</v>
      </c>
      <c r="D29" s="7" t="s">
        <v>218</v>
      </c>
      <c r="E29" s="7" t="s">
        <v>95</v>
      </c>
      <c r="F29" s="7" t="s">
        <v>232</v>
      </c>
      <c r="G29" s="36" t="s">
        <v>232</v>
      </c>
      <c r="H29" s="131"/>
      <c r="I29" s="137"/>
      <c r="J29" s="133"/>
      <c r="K29" s="133"/>
      <c r="L29" s="138"/>
      <c r="M29" s="12"/>
    </row>
    <row r="30" spans="1:14" x14ac:dyDescent="0.25">
      <c r="A30" s="62" t="s">
        <v>233</v>
      </c>
      <c r="B30" s="10" t="s">
        <v>234</v>
      </c>
      <c r="C30" s="7" t="s">
        <v>217</v>
      </c>
      <c r="D30" s="7" t="s">
        <v>218</v>
      </c>
      <c r="E30" s="7" t="s">
        <v>92</v>
      </c>
      <c r="F30" s="7" t="s">
        <v>232</v>
      </c>
      <c r="G30" s="36" t="s">
        <v>232</v>
      </c>
      <c r="H30" s="131"/>
      <c r="I30" s="137"/>
      <c r="J30" s="133"/>
      <c r="K30" s="133"/>
      <c r="L30" s="138"/>
      <c r="M30" s="12"/>
    </row>
    <row r="31" spans="1:14" x14ac:dyDescent="0.25">
      <c r="A31" s="62" t="s">
        <v>235</v>
      </c>
      <c r="B31" s="10" t="s">
        <v>236</v>
      </c>
      <c r="C31" s="7" t="s">
        <v>217</v>
      </c>
      <c r="D31" s="7" t="s">
        <v>237</v>
      </c>
      <c r="E31" s="7">
        <v>0</v>
      </c>
      <c r="F31" s="7" t="s">
        <v>220</v>
      </c>
      <c r="G31" s="36" t="s">
        <v>232</v>
      </c>
      <c r="H31" s="131"/>
      <c r="I31" s="137"/>
      <c r="J31" s="133"/>
      <c r="K31" s="133"/>
      <c r="L31" s="138"/>
      <c r="M31" s="12"/>
    </row>
    <row r="32" spans="1:14" ht="30.75" thickBot="1" x14ac:dyDescent="0.3">
      <c r="A32" s="63">
        <v>14</v>
      </c>
      <c r="B32" s="48" t="s">
        <v>183</v>
      </c>
      <c r="C32" s="49" t="s">
        <v>217</v>
      </c>
      <c r="D32" s="49" t="s">
        <v>218</v>
      </c>
      <c r="E32" s="49">
        <v>0</v>
      </c>
      <c r="F32" s="49" t="s">
        <v>232</v>
      </c>
      <c r="G32" s="76">
        <v>3</v>
      </c>
      <c r="H32" s="132"/>
      <c r="I32" s="139"/>
      <c r="J32" s="140"/>
      <c r="K32" s="140"/>
      <c r="L32" s="141"/>
      <c r="M32" s="12"/>
    </row>
    <row r="33" spans="1:12" ht="18.75" x14ac:dyDescent="0.3">
      <c r="A33" s="28" t="s">
        <v>238</v>
      </c>
      <c r="H33" s="128"/>
      <c r="I33" s="128"/>
      <c r="J33" s="14"/>
      <c r="K33" s="14"/>
      <c r="L33" s="14"/>
    </row>
    <row r="34" spans="1:12" ht="18.75" x14ac:dyDescent="0.3">
      <c r="A34" s="28" t="s">
        <v>239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6" t="s">
        <v>240</v>
      </c>
      <c r="B1" s="187"/>
      <c r="C1" s="187"/>
      <c r="D1" s="187"/>
      <c r="E1" s="188"/>
    </row>
    <row r="2" spans="1:8" x14ac:dyDescent="0.25">
      <c r="A2" s="189"/>
      <c r="B2" s="190"/>
      <c r="C2" s="190"/>
      <c r="D2" s="190"/>
      <c r="E2" s="191"/>
    </row>
    <row r="3" spans="1:8" x14ac:dyDescent="0.25">
      <c r="A3" s="30" t="s">
        <v>241</v>
      </c>
      <c r="B3" s="29" t="s">
        <v>242</v>
      </c>
      <c r="C3" s="29" t="s">
        <v>243</v>
      </c>
      <c r="D3" s="29" t="s">
        <v>244</v>
      </c>
      <c r="E3" s="31" t="s">
        <v>245</v>
      </c>
      <c r="G3" s="85" t="s">
        <v>256</v>
      </c>
      <c r="H3" s="85" t="s">
        <v>285</v>
      </c>
    </row>
    <row r="4" spans="1:8" x14ac:dyDescent="0.25">
      <c r="A4" s="77" t="s">
        <v>269</v>
      </c>
      <c r="B4" s="78" t="s">
        <v>270</v>
      </c>
      <c r="C4" s="78" t="s">
        <v>271</v>
      </c>
      <c r="D4" s="78" t="s">
        <v>272</v>
      </c>
      <c r="E4" s="82" t="s">
        <v>273</v>
      </c>
      <c r="G4" s="86" t="s">
        <v>283</v>
      </c>
      <c r="H4" s="86" t="s">
        <v>286</v>
      </c>
    </row>
    <row r="5" spans="1:8" x14ac:dyDescent="0.25">
      <c r="A5" s="79" t="s">
        <v>274</v>
      </c>
      <c r="B5" t="s">
        <v>275</v>
      </c>
      <c r="C5" t="s">
        <v>271</v>
      </c>
      <c r="D5" t="s">
        <v>276</v>
      </c>
      <c r="E5" s="83" t="s">
        <v>273</v>
      </c>
      <c r="G5" s="87" t="s">
        <v>284</v>
      </c>
      <c r="H5" s="87" t="s">
        <v>287</v>
      </c>
    </row>
    <row r="6" spans="1:8" x14ac:dyDescent="0.25">
      <c r="A6" s="79" t="s">
        <v>277</v>
      </c>
      <c r="B6" t="s">
        <v>278</v>
      </c>
      <c r="C6" t="s">
        <v>271</v>
      </c>
      <c r="D6" t="s">
        <v>279</v>
      </c>
      <c r="E6" s="83" t="s">
        <v>273</v>
      </c>
    </row>
    <row r="7" spans="1:8" x14ac:dyDescent="0.25">
      <c r="A7" s="80" t="s">
        <v>280</v>
      </c>
      <c r="B7" s="81" t="s">
        <v>281</v>
      </c>
      <c r="C7" s="81" t="s">
        <v>271</v>
      </c>
      <c r="D7" s="81" t="s">
        <v>282</v>
      </c>
      <c r="E7" s="84" t="s">
        <v>273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324</v>
      </c>
    </row>
    <row r="2" spans="1:9" ht="31.5" x14ac:dyDescent="0.25">
      <c r="A2" s="88" t="s">
        <v>288</v>
      </c>
      <c r="B2" s="88" t="s">
        <v>247</v>
      </c>
      <c r="C2" s="88" t="s">
        <v>289</v>
      </c>
      <c r="E2" s="88" t="s">
        <v>249</v>
      </c>
      <c r="F2" s="88" t="s">
        <v>250</v>
      </c>
      <c r="G2" s="88" t="s">
        <v>251</v>
      </c>
      <c r="H2" s="88" t="s">
        <v>294</v>
      </c>
      <c r="I2" s="88" t="s">
        <v>252</v>
      </c>
    </row>
    <row r="3" spans="1:9" ht="15.75" x14ac:dyDescent="0.25">
      <c r="A3" s="89" t="s">
        <v>290</v>
      </c>
      <c r="B3" s="90" t="s">
        <v>284</v>
      </c>
      <c r="C3" s="89" t="s">
        <v>291</v>
      </c>
      <c r="E3" s="89" t="str">
        <f>TRIM($B$3)&amp;"|"&amp;TRIM($B$4)</f>
        <v>4B|2015</v>
      </c>
      <c r="F3" s="89" t="str">
        <f>IFERROR(VLOOKUP($E$3,'Model Map'!$A$4:$E$200,2,FALSE),"(modèle inconnu)")</f>
        <v>IECWPP4BCurrentSource2015</v>
      </c>
      <c r="G3" s="89" t="str">
        <f>IFERROR(VLOOKUP($E$3,'Model Map'!$A$4:$E$200,3,FALSE),"")</f>
        <v>WPP_</v>
      </c>
      <c r="H3" s="89" t="str">
        <f>IFERROR(VLOOKUP($E$3,'Model Map'!$A$4:$E$200,4,FALSE),"(modèle inconnu)")</f>
        <v>IECWT4BCurrentSource2015</v>
      </c>
      <c r="I3" s="89" t="str">
        <f>IFERROR(VLOOKUP($E$3,'Model Map'!$A$4:$E$200,5,FALSE),"")</f>
        <v>WT_</v>
      </c>
    </row>
    <row r="4" spans="1:9" ht="15.75" x14ac:dyDescent="0.25">
      <c r="A4" s="89" t="s">
        <v>292</v>
      </c>
      <c r="B4" s="91" t="s">
        <v>286</v>
      </c>
      <c r="C4" s="89" t="s">
        <v>293</v>
      </c>
    </row>
    <row r="6" spans="1:9" ht="15.75" x14ac:dyDescent="0.25">
      <c r="A6" s="88" t="s">
        <v>246</v>
      </c>
      <c r="B6" s="88" t="s">
        <v>247</v>
      </c>
      <c r="C6" s="88" t="s">
        <v>248</v>
      </c>
      <c r="D6" s="88" t="s">
        <v>295</v>
      </c>
    </row>
    <row r="7" spans="1:9" ht="31.5" x14ac:dyDescent="0.25">
      <c r="A7" s="89" t="s">
        <v>296</v>
      </c>
      <c r="B7" s="89" t="str">
        <f>"PControlWP_"&amp;$B$4</f>
        <v>PControlWP_2015</v>
      </c>
      <c r="C7" s="89" t="s">
        <v>253</v>
      </c>
      <c r="D7" s="89" t="s">
        <v>297</v>
      </c>
    </row>
    <row r="8" spans="1:9" ht="31.5" x14ac:dyDescent="0.25">
      <c r="A8" s="89" t="s">
        <v>298</v>
      </c>
      <c r="B8" s="89" t="str">
        <f>"QControlWP_"&amp;$B$4</f>
        <v>QControlWP_2015</v>
      </c>
      <c r="C8" s="89" t="s">
        <v>253</v>
      </c>
      <c r="D8" s="89" t="s">
        <v>297</v>
      </c>
    </row>
    <row r="9" spans="1:9" ht="31.5" x14ac:dyDescent="0.25">
      <c r="A9" s="89" t="s">
        <v>299</v>
      </c>
      <c r="B9" s="89" t="str">
        <f>"MeasurementWP_"&amp;$B$4</f>
        <v>MeasurementWP_2015</v>
      </c>
      <c r="C9" s="89" t="s">
        <v>253</v>
      </c>
      <c r="D9" s="89" t="s">
        <v>300</v>
      </c>
    </row>
    <row r="10" spans="1:9" ht="31.5" x14ac:dyDescent="0.25">
      <c r="A10" s="89" t="s">
        <v>301</v>
      </c>
      <c r="B10" s="89" t="str">
        <f>"LinearCommunication_"&amp;$B$4</f>
        <v>LinearCommunication_2015</v>
      </c>
      <c r="C10" s="89" t="s">
        <v>253</v>
      </c>
      <c r="D10" s="89" t="s">
        <v>300</v>
      </c>
    </row>
    <row r="11" spans="1:9" ht="15.75" x14ac:dyDescent="0.25">
      <c r="A11" s="89" t="s">
        <v>302</v>
      </c>
      <c r="B11" s="89" t="str">
        <f>"QControl_"&amp;$B$4</f>
        <v>QControl_2015</v>
      </c>
      <c r="C11" s="89" t="s">
        <v>254</v>
      </c>
      <c r="D11" s="89" t="s">
        <v>303</v>
      </c>
    </row>
    <row r="12" spans="1:9" ht="31.5" x14ac:dyDescent="0.25">
      <c r="A12" s="89" t="s">
        <v>304</v>
      </c>
      <c r="B12" s="89" t="str">
        <f>"PControl_"&amp;$B$3&amp;$B$4</f>
        <v>PControl_4B2015</v>
      </c>
      <c r="C12" s="89" t="s">
        <v>254</v>
      </c>
      <c r="D12" s="89" t="s">
        <v>305</v>
      </c>
    </row>
    <row r="13" spans="1:9" ht="31.5" x14ac:dyDescent="0.25">
      <c r="A13" s="89" t="s">
        <v>306</v>
      </c>
      <c r="B13" s="89" t="str">
        <f>"CurrentLimiter_"&amp;$B$4</f>
        <v>CurrentLimiter_2015</v>
      </c>
      <c r="C13" s="89" t="s">
        <v>254</v>
      </c>
      <c r="D13" s="89" t="s">
        <v>307</v>
      </c>
    </row>
    <row r="14" spans="1:9" ht="15.75" x14ac:dyDescent="0.25">
      <c r="A14" s="89" t="s">
        <v>308</v>
      </c>
      <c r="B14" s="89" t="str">
        <f>"QLimiter_"&amp;$B$4</f>
        <v>QLimiter_2015</v>
      </c>
      <c r="C14" s="89" t="s">
        <v>254</v>
      </c>
      <c r="D14" s="89" t="s">
        <v>307</v>
      </c>
    </row>
    <row r="15" spans="1:9" ht="15.75" x14ac:dyDescent="0.25">
      <c r="A15" s="89" t="s">
        <v>309</v>
      </c>
      <c r="B15" s="89" t="s">
        <v>310</v>
      </c>
      <c r="C15" s="89" t="s">
        <v>254</v>
      </c>
      <c r="D15" s="89" t="s">
        <v>263</v>
      </c>
    </row>
    <row r="16" spans="1:9" ht="15.75" x14ac:dyDescent="0.25">
      <c r="A16" s="89" t="s">
        <v>311</v>
      </c>
      <c r="B16" s="89" t="s">
        <v>312</v>
      </c>
      <c r="C16" s="89" t="s">
        <v>254</v>
      </c>
      <c r="D16" s="89" t="s">
        <v>263</v>
      </c>
    </row>
    <row r="17" spans="1:4" ht="15.75" x14ac:dyDescent="0.25">
      <c r="A17" s="89" t="s">
        <v>313</v>
      </c>
      <c r="B17" s="89" t="s">
        <v>314</v>
      </c>
      <c r="C17" s="89" t="s">
        <v>254</v>
      </c>
      <c r="D17" s="89" t="s">
        <v>263</v>
      </c>
    </row>
    <row r="18" spans="1:4" ht="31.5" x14ac:dyDescent="0.25">
      <c r="A18" s="89" t="s">
        <v>315</v>
      </c>
      <c r="B18" s="89" t="str">
        <f>"UfMeasurement_"&amp;$B$4</f>
        <v>UfMeasurement_2015</v>
      </c>
      <c r="C18" s="89" t="s">
        <v>254</v>
      </c>
      <c r="D18" s="89" t="s">
        <v>316</v>
      </c>
    </row>
    <row r="19" spans="1:4" ht="31.5" x14ac:dyDescent="0.25">
      <c r="A19" s="89" t="s">
        <v>317</v>
      </c>
      <c r="B19" s="89" t="str">
        <f>"MeasurementC_"&amp;$B$4</f>
        <v>MeasurementC_2015</v>
      </c>
      <c r="C19" s="89" t="s">
        <v>254</v>
      </c>
      <c r="D19" s="89" t="s">
        <v>316</v>
      </c>
    </row>
    <row r="20" spans="1:4" ht="31.5" x14ac:dyDescent="0.25">
      <c r="A20" s="89" t="s">
        <v>318</v>
      </c>
      <c r="B20" s="89" t="str">
        <f>"MeasurementP_"&amp;$B$4</f>
        <v>MeasurementP_2015</v>
      </c>
      <c r="C20" s="89" t="s">
        <v>254</v>
      </c>
      <c r="D20" s="89" t="s">
        <v>316</v>
      </c>
    </row>
    <row r="21" spans="1:4" ht="15.75" x14ac:dyDescent="0.25">
      <c r="A21" s="89" t="s">
        <v>319</v>
      </c>
      <c r="B21" s="89" t="s">
        <v>320</v>
      </c>
      <c r="C21" s="89" t="s">
        <v>254</v>
      </c>
      <c r="D21" s="89" t="s">
        <v>316</v>
      </c>
    </row>
    <row r="22" spans="1:4" ht="31.5" x14ac:dyDescent="0.25">
      <c r="A22" s="89" t="s">
        <v>321</v>
      </c>
      <c r="B22" s="89" t="str">
        <f>"Mechanical_"&amp;$B$3</f>
        <v>Mechanical_4B</v>
      </c>
      <c r="C22" s="89" t="s">
        <v>254</v>
      </c>
      <c r="D22" s="89" t="s">
        <v>322</v>
      </c>
    </row>
    <row r="24" spans="1:4" x14ac:dyDescent="0.25">
      <c r="A24" s="92" t="s">
        <v>323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413</v>
      </c>
    </row>
    <row r="2" spans="1:19" x14ac:dyDescent="0.25">
      <c r="A2" s="192" t="s">
        <v>296</v>
      </c>
      <c r="B2" s="193"/>
      <c r="C2" s="193"/>
      <c r="D2" s="193"/>
      <c r="E2" s="193"/>
      <c r="F2" s="193"/>
      <c r="G2" s="193"/>
      <c r="H2" s="193"/>
      <c r="I2" s="194"/>
      <c r="K2" s="192" t="s">
        <v>298</v>
      </c>
      <c r="L2" s="193"/>
      <c r="M2" s="193"/>
      <c r="N2" s="193"/>
      <c r="O2" s="193"/>
      <c r="P2" s="193"/>
      <c r="Q2" s="193"/>
      <c r="R2" s="193"/>
      <c r="S2" s="194"/>
    </row>
    <row r="3" spans="1:19" x14ac:dyDescent="0.25">
      <c r="A3" s="195" t="s">
        <v>327</v>
      </c>
      <c r="B3" s="196"/>
      <c r="C3" s="195" t="s">
        <v>328</v>
      </c>
      <c r="D3" s="196"/>
      <c r="E3" s="195"/>
      <c r="F3" s="197"/>
      <c r="G3" s="197"/>
      <c r="H3" s="197"/>
      <c r="I3" s="196"/>
      <c r="K3" s="195" t="s">
        <v>365</v>
      </c>
      <c r="L3" s="196"/>
      <c r="M3" s="195" t="s">
        <v>366</v>
      </c>
      <c r="N3" s="196"/>
      <c r="O3" s="195"/>
      <c r="P3" s="197"/>
      <c r="Q3" s="197"/>
      <c r="R3" s="197"/>
      <c r="S3" s="196"/>
    </row>
    <row r="4" spans="1:19" ht="45" customHeight="1" x14ac:dyDescent="0.25">
      <c r="A4" s="94" t="s">
        <v>255</v>
      </c>
      <c r="B4" s="95" t="s">
        <v>7</v>
      </c>
      <c r="C4" s="95" t="s">
        <v>255</v>
      </c>
      <c r="D4" s="95" t="s">
        <v>7</v>
      </c>
      <c r="E4" s="95" t="s">
        <v>256</v>
      </c>
      <c r="F4" s="95" t="s">
        <v>6</v>
      </c>
      <c r="G4" s="95" t="s">
        <v>8</v>
      </c>
      <c r="H4" s="95" t="s">
        <v>257</v>
      </c>
      <c r="I4" s="96" t="s">
        <v>9</v>
      </c>
      <c r="K4" s="94" t="s">
        <v>255</v>
      </c>
      <c r="L4" s="95" t="s">
        <v>7</v>
      </c>
      <c r="M4" s="95" t="s">
        <v>255</v>
      </c>
      <c r="N4" s="95" t="s">
        <v>7</v>
      </c>
      <c r="O4" s="95" t="s">
        <v>256</v>
      </c>
      <c r="P4" s="95" t="s">
        <v>6</v>
      </c>
      <c r="Q4" s="95" t="s">
        <v>8</v>
      </c>
      <c r="R4" s="95" t="s">
        <v>257</v>
      </c>
      <c r="S4" s="96" t="s">
        <v>9</v>
      </c>
    </row>
    <row r="5" spans="1:19" ht="30" x14ac:dyDescent="0.25">
      <c r="A5" s="97" t="s">
        <v>329</v>
      </c>
      <c r="B5" s="100"/>
      <c r="C5" s="97" t="s">
        <v>329</v>
      </c>
      <c r="D5" s="100"/>
      <c r="E5" s="97" t="s">
        <v>259</v>
      </c>
      <c r="F5" s="103" t="s">
        <v>330</v>
      </c>
      <c r="G5" s="106" t="s">
        <v>261</v>
      </c>
      <c r="H5" s="107" t="s">
        <v>331</v>
      </c>
      <c r="I5" s="112"/>
      <c r="K5" s="97" t="s">
        <v>367</v>
      </c>
      <c r="L5" s="100"/>
      <c r="M5" s="97" t="s">
        <v>367</v>
      </c>
      <c r="N5" s="100"/>
      <c r="O5" s="97" t="s">
        <v>368</v>
      </c>
      <c r="P5" s="103" t="s">
        <v>369</v>
      </c>
      <c r="Q5" s="106" t="s">
        <v>16</v>
      </c>
      <c r="R5" s="107" t="s">
        <v>16</v>
      </c>
      <c r="S5" s="112"/>
    </row>
    <row r="6" spans="1:19" ht="30" x14ac:dyDescent="0.25">
      <c r="A6" s="98" t="s">
        <v>332</v>
      </c>
      <c r="B6" s="101"/>
      <c r="C6" s="98" t="s">
        <v>332</v>
      </c>
      <c r="D6" s="101"/>
      <c r="E6" s="98" t="s">
        <v>259</v>
      </c>
      <c r="F6" s="104" t="s">
        <v>333</v>
      </c>
      <c r="G6" s="108" t="s">
        <v>334</v>
      </c>
      <c r="H6" s="109" t="s">
        <v>331</v>
      </c>
      <c r="I6" s="113"/>
      <c r="K6" s="98" t="s">
        <v>370</v>
      </c>
      <c r="L6" s="101"/>
      <c r="M6" s="98" t="s">
        <v>370</v>
      </c>
      <c r="N6" s="101"/>
      <c r="O6" s="98" t="s">
        <v>259</v>
      </c>
      <c r="P6" s="104" t="s">
        <v>371</v>
      </c>
      <c r="Q6" s="108" t="s">
        <v>261</v>
      </c>
      <c r="R6" s="109" t="s">
        <v>331</v>
      </c>
      <c r="S6" s="113"/>
    </row>
    <row r="7" spans="1:19" ht="30" x14ac:dyDescent="0.25">
      <c r="A7" s="98" t="s">
        <v>335</v>
      </c>
      <c r="B7" s="101"/>
      <c r="C7" s="98" t="s">
        <v>335</v>
      </c>
      <c r="D7" s="101"/>
      <c r="E7" s="98" t="s">
        <v>259</v>
      </c>
      <c r="F7" s="104" t="s">
        <v>336</v>
      </c>
      <c r="G7" s="108" t="s">
        <v>261</v>
      </c>
      <c r="H7" s="109" t="s">
        <v>331</v>
      </c>
      <c r="I7" s="113"/>
      <c r="K7" s="98" t="s">
        <v>372</v>
      </c>
      <c r="L7" s="101"/>
      <c r="M7" s="98" t="s">
        <v>372</v>
      </c>
      <c r="N7" s="101"/>
      <c r="O7" s="98" t="s">
        <v>259</v>
      </c>
      <c r="P7" s="104" t="s">
        <v>373</v>
      </c>
      <c r="Q7" s="108" t="s">
        <v>334</v>
      </c>
      <c r="R7" s="109" t="s">
        <v>331</v>
      </c>
      <c r="S7" s="113"/>
    </row>
    <row r="8" spans="1:19" x14ac:dyDescent="0.25">
      <c r="A8" s="98" t="s">
        <v>337</v>
      </c>
      <c r="B8" s="101"/>
      <c r="C8" s="98" t="s">
        <v>337</v>
      </c>
      <c r="D8" s="101"/>
      <c r="E8" s="98" t="s">
        <v>259</v>
      </c>
      <c r="F8" s="104" t="s">
        <v>338</v>
      </c>
      <c r="G8" s="108" t="s">
        <v>261</v>
      </c>
      <c r="H8" s="109" t="s">
        <v>331</v>
      </c>
      <c r="I8" s="113"/>
      <c r="K8" s="98" t="s">
        <v>374</v>
      </c>
      <c r="L8" s="101"/>
      <c r="M8" s="98" t="s">
        <v>374</v>
      </c>
      <c r="N8" s="101"/>
      <c r="O8" s="98" t="s">
        <v>259</v>
      </c>
      <c r="P8" s="104" t="s">
        <v>375</v>
      </c>
      <c r="Q8" s="108" t="s">
        <v>261</v>
      </c>
      <c r="R8" s="109" t="s">
        <v>331</v>
      </c>
      <c r="S8" s="113"/>
    </row>
    <row r="9" spans="1:19" x14ac:dyDescent="0.25">
      <c r="A9" s="98" t="s">
        <v>339</v>
      </c>
      <c r="B9" s="101"/>
      <c r="C9" s="98" t="s">
        <v>339</v>
      </c>
      <c r="D9" s="101"/>
      <c r="E9" s="98" t="s">
        <v>259</v>
      </c>
      <c r="F9" s="104" t="s">
        <v>340</v>
      </c>
      <c r="G9" s="108" t="s">
        <v>261</v>
      </c>
      <c r="H9" s="109" t="s">
        <v>331</v>
      </c>
      <c r="I9" s="113"/>
      <c r="K9" s="98" t="s">
        <v>376</v>
      </c>
      <c r="L9" s="101"/>
      <c r="M9" s="98" t="s">
        <v>376</v>
      </c>
      <c r="N9" s="101"/>
      <c r="O9" s="98" t="s">
        <v>259</v>
      </c>
      <c r="P9" s="104" t="s">
        <v>377</v>
      </c>
      <c r="Q9" s="108" t="s">
        <v>261</v>
      </c>
      <c r="R9" s="109" t="s">
        <v>331</v>
      </c>
      <c r="S9" s="113"/>
    </row>
    <row r="10" spans="1:19" ht="30" x14ac:dyDescent="0.25">
      <c r="A10" s="98" t="s">
        <v>341</v>
      </c>
      <c r="B10" s="101"/>
      <c r="C10" s="98" t="s">
        <v>341</v>
      </c>
      <c r="D10" s="101"/>
      <c r="E10" s="98" t="s">
        <v>259</v>
      </c>
      <c r="F10" s="104" t="s">
        <v>342</v>
      </c>
      <c r="G10" s="108" t="s">
        <v>334</v>
      </c>
      <c r="H10" s="109" t="s">
        <v>331</v>
      </c>
      <c r="I10" s="113"/>
      <c r="K10" s="98" t="s">
        <v>378</v>
      </c>
      <c r="L10" s="101"/>
      <c r="M10" s="98" t="s">
        <v>378</v>
      </c>
      <c r="N10" s="101"/>
      <c r="O10" s="98" t="s">
        <v>259</v>
      </c>
      <c r="P10" s="104" t="s">
        <v>379</v>
      </c>
      <c r="Q10" s="108" t="s">
        <v>261</v>
      </c>
      <c r="R10" s="109" t="s">
        <v>380</v>
      </c>
      <c r="S10" s="113"/>
    </row>
    <row r="11" spans="1:19" ht="30" x14ac:dyDescent="0.25">
      <c r="A11" s="98" t="s">
        <v>343</v>
      </c>
      <c r="B11" s="101"/>
      <c r="C11" s="98" t="s">
        <v>343</v>
      </c>
      <c r="D11" s="101"/>
      <c r="E11" s="98" t="s">
        <v>259</v>
      </c>
      <c r="F11" s="104" t="s">
        <v>344</v>
      </c>
      <c r="G11" s="108" t="s">
        <v>334</v>
      </c>
      <c r="H11" s="109" t="s">
        <v>331</v>
      </c>
      <c r="I11" s="113"/>
      <c r="K11" s="98" t="s">
        <v>381</v>
      </c>
      <c r="L11" s="101"/>
      <c r="M11" s="98" t="s">
        <v>381</v>
      </c>
      <c r="N11" s="101"/>
      <c r="O11" s="98" t="s">
        <v>259</v>
      </c>
      <c r="P11" s="104" t="s">
        <v>382</v>
      </c>
      <c r="Q11" s="108" t="s">
        <v>261</v>
      </c>
      <c r="R11" s="109" t="s">
        <v>380</v>
      </c>
      <c r="S11" s="113"/>
    </row>
    <row r="12" spans="1:19" ht="45" x14ac:dyDescent="0.25">
      <c r="A12" s="98" t="s">
        <v>345</v>
      </c>
      <c r="B12" s="101"/>
      <c r="C12" s="98" t="s">
        <v>345</v>
      </c>
      <c r="D12" s="101"/>
      <c r="E12" s="98" t="s">
        <v>259</v>
      </c>
      <c r="F12" s="104" t="s">
        <v>346</v>
      </c>
      <c r="G12" s="108" t="s">
        <v>334</v>
      </c>
      <c r="H12" s="109" t="s">
        <v>331</v>
      </c>
      <c r="I12" s="113"/>
      <c r="K12" s="98" t="s">
        <v>383</v>
      </c>
      <c r="L12" s="101"/>
      <c r="M12" s="98" t="s">
        <v>383</v>
      </c>
      <c r="N12" s="101"/>
      <c r="O12" s="98" t="s">
        <v>259</v>
      </c>
      <c r="P12" s="104" t="s">
        <v>384</v>
      </c>
      <c r="Q12" s="108" t="s">
        <v>334</v>
      </c>
      <c r="R12" s="109" t="s">
        <v>380</v>
      </c>
      <c r="S12" s="113"/>
    </row>
    <row r="13" spans="1:19" ht="45" x14ac:dyDescent="0.25">
      <c r="A13" s="98" t="s">
        <v>347</v>
      </c>
      <c r="B13" s="101"/>
      <c r="C13" s="98" t="s">
        <v>347</v>
      </c>
      <c r="D13" s="101"/>
      <c r="E13" s="98" t="s">
        <v>259</v>
      </c>
      <c r="F13" s="104" t="s">
        <v>348</v>
      </c>
      <c r="G13" s="108" t="s">
        <v>334</v>
      </c>
      <c r="H13" s="109" t="s">
        <v>331</v>
      </c>
      <c r="I13" s="113"/>
      <c r="K13" s="98" t="s">
        <v>385</v>
      </c>
      <c r="L13" s="101"/>
      <c r="M13" s="98" t="s">
        <v>385</v>
      </c>
      <c r="N13" s="101"/>
      <c r="O13" s="98" t="s">
        <v>259</v>
      </c>
      <c r="P13" s="104" t="s">
        <v>386</v>
      </c>
      <c r="Q13" s="108" t="s">
        <v>334</v>
      </c>
      <c r="R13" s="109" t="s">
        <v>380</v>
      </c>
      <c r="S13" s="113"/>
    </row>
    <row r="14" spans="1:19" ht="45" x14ac:dyDescent="0.25">
      <c r="A14" s="98" t="s">
        <v>349</v>
      </c>
      <c r="B14" s="101"/>
      <c r="C14" s="98" t="s">
        <v>349</v>
      </c>
      <c r="D14" s="101"/>
      <c r="E14" s="98" t="s">
        <v>259</v>
      </c>
      <c r="F14" s="104" t="s">
        <v>350</v>
      </c>
      <c r="G14" s="108" t="s">
        <v>261</v>
      </c>
      <c r="H14" s="109" t="s">
        <v>331</v>
      </c>
      <c r="I14" s="113"/>
      <c r="K14" s="98" t="s">
        <v>387</v>
      </c>
      <c r="L14" s="101"/>
      <c r="M14" s="98" t="s">
        <v>387</v>
      </c>
      <c r="N14" s="101"/>
      <c r="O14" s="98" t="s">
        <v>259</v>
      </c>
      <c r="P14" s="104" t="s">
        <v>388</v>
      </c>
      <c r="Q14" s="108" t="s">
        <v>261</v>
      </c>
      <c r="R14" s="109" t="s">
        <v>380</v>
      </c>
      <c r="S14" s="113"/>
    </row>
    <row r="15" spans="1:19" ht="45" x14ac:dyDescent="0.25">
      <c r="A15" s="98" t="s">
        <v>351</v>
      </c>
      <c r="B15" s="101"/>
      <c r="C15" s="98" t="s">
        <v>351</v>
      </c>
      <c r="D15" s="101"/>
      <c r="E15" s="98" t="s">
        <v>259</v>
      </c>
      <c r="F15" s="104" t="s">
        <v>352</v>
      </c>
      <c r="G15" s="108" t="s">
        <v>261</v>
      </c>
      <c r="H15" s="109" t="s">
        <v>331</v>
      </c>
      <c r="I15" s="113"/>
      <c r="K15" s="98" t="s">
        <v>389</v>
      </c>
      <c r="L15" s="101"/>
      <c r="M15" s="98" t="s">
        <v>389</v>
      </c>
      <c r="N15" s="101"/>
      <c r="O15" s="98" t="s">
        <v>259</v>
      </c>
      <c r="P15" s="104" t="s">
        <v>390</v>
      </c>
      <c r="Q15" s="108" t="s">
        <v>261</v>
      </c>
      <c r="R15" s="109" t="s">
        <v>380</v>
      </c>
      <c r="S15" s="113"/>
    </row>
    <row r="16" spans="1:19" ht="45" x14ac:dyDescent="0.25">
      <c r="A16" s="98" t="s">
        <v>264</v>
      </c>
      <c r="B16" s="98" t="s">
        <v>264</v>
      </c>
      <c r="C16" s="98" t="s">
        <v>353</v>
      </c>
      <c r="D16" s="101"/>
      <c r="E16" s="98" t="s">
        <v>259</v>
      </c>
      <c r="F16" s="104" t="s">
        <v>354</v>
      </c>
      <c r="G16" s="108" t="s">
        <v>261</v>
      </c>
      <c r="H16" s="109" t="s">
        <v>331</v>
      </c>
      <c r="I16" s="113"/>
      <c r="K16" s="98" t="s">
        <v>264</v>
      </c>
      <c r="L16" s="98" t="s">
        <v>264</v>
      </c>
      <c r="M16" s="98" t="s">
        <v>391</v>
      </c>
      <c r="N16" s="101"/>
      <c r="O16" s="98" t="s">
        <v>259</v>
      </c>
      <c r="P16" s="104" t="s">
        <v>392</v>
      </c>
      <c r="Q16" s="108" t="s">
        <v>261</v>
      </c>
      <c r="R16" s="109" t="s">
        <v>380</v>
      </c>
      <c r="S16" s="113"/>
    </row>
    <row r="17" spans="1:19" ht="45" x14ac:dyDescent="0.25">
      <c r="A17" s="98" t="s">
        <v>264</v>
      </c>
      <c r="B17" s="98" t="s">
        <v>264</v>
      </c>
      <c r="C17" s="98" t="s">
        <v>355</v>
      </c>
      <c r="D17" s="101"/>
      <c r="E17" s="98" t="s">
        <v>259</v>
      </c>
      <c r="F17" s="104" t="s">
        <v>356</v>
      </c>
      <c r="G17" s="108" t="s">
        <v>261</v>
      </c>
      <c r="H17" s="109" t="s">
        <v>331</v>
      </c>
      <c r="I17" s="113"/>
      <c r="K17" s="98" t="s">
        <v>264</v>
      </c>
      <c r="L17" s="98" t="s">
        <v>264</v>
      </c>
      <c r="M17" s="98" t="s">
        <v>393</v>
      </c>
      <c r="N17" s="101"/>
      <c r="O17" s="98" t="s">
        <v>259</v>
      </c>
      <c r="P17" s="104" t="s">
        <v>394</v>
      </c>
      <c r="Q17" s="108" t="s">
        <v>261</v>
      </c>
      <c r="R17" s="109" t="s">
        <v>380</v>
      </c>
      <c r="S17" s="113"/>
    </row>
    <row r="18" spans="1:19" x14ac:dyDescent="0.25">
      <c r="A18" s="98" t="s">
        <v>357</v>
      </c>
      <c r="B18" s="101"/>
      <c r="C18" s="98" t="s">
        <v>264</v>
      </c>
      <c r="D18" s="98" t="s">
        <v>264</v>
      </c>
      <c r="E18" s="98" t="s">
        <v>259</v>
      </c>
      <c r="F18" s="104" t="s">
        <v>358</v>
      </c>
      <c r="G18" s="108" t="s">
        <v>260</v>
      </c>
      <c r="H18" s="109" t="s">
        <v>16</v>
      </c>
      <c r="I18" s="113"/>
      <c r="K18" s="98" t="s">
        <v>395</v>
      </c>
      <c r="L18" s="101"/>
      <c r="M18" s="98" t="s">
        <v>395</v>
      </c>
      <c r="N18" s="101"/>
      <c r="O18" s="98" t="s">
        <v>259</v>
      </c>
      <c r="P18" s="104" t="s">
        <v>396</v>
      </c>
      <c r="Q18" s="108" t="s">
        <v>261</v>
      </c>
      <c r="R18" s="109" t="s">
        <v>265</v>
      </c>
      <c r="S18" s="113"/>
    </row>
    <row r="19" spans="1:19" x14ac:dyDescent="0.25">
      <c r="A19" s="98" t="s">
        <v>359</v>
      </c>
      <c r="B19" s="101"/>
      <c r="C19" s="98" t="s">
        <v>264</v>
      </c>
      <c r="D19" s="98" t="s">
        <v>264</v>
      </c>
      <c r="E19" s="98" t="s">
        <v>259</v>
      </c>
      <c r="F19" s="104" t="s">
        <v>360</v>
      </c>
      <c r="G19" s="108" t="s">
        <v>260</v>
      </c>
      <c r="H19" s="109" t="s">
        <v>16</v>
      </c>
      <c r="I19" s="113"/>
      <c r="K19" s="98" t="s">
        <v>264</v>
      </c>
      <c r="L19" s="98" t="s">
        <v>264</v>
      </c>
      <c r="M19" s="98" t="s">
        <v>397</v>
      </c>
      <c r="N19" s="101"/>
      <c r="O19" s="98" t="s">
        <v>259</v>
      </c>
      <c r="P19" s="104" t="s">
        <v>398</v>
      </c>
      <c r="Q19" s="108" t="s">
        <v>261</v>
      </c>
      <c r="R19" s="109" t="s">
        <v>265</v>
      </c>
      <c r="S19" s="113"/>
    </row>
    <row r="20" spans="1:19" ht="30" x14ac:dyDescent="0.25">
      <c r="A20" s="98" t="s">
        <v>361</v>
      </c>
      <c r="B20" s="101"/>
      <c r="C20" s="98" t="s">
        <v>264</v>
      </c>
      <c r="D20" s="98" t="s">
        <v>264</v>
      </c>
      <c r="E20" s="98" t="s">
        <v>259</v>
      </c>
      <c r="F20" s="104" t="s">
        <v>362</v>
      </c>
      <c r="G20" s="108" t="s">
        <v>260</v>
      </c>
      <c r="H20" s="109" t="s">
        <v>16</v>
      </c>
      <c r="I20" s="113"/>
      <c r="K20" s="98" t="s">
        <v>264</v>
      </c>
      <c r="L20" s="98" t="s">
        <v>264</v>
      </c>
      <c r="M20" s="98" t="s">
        <v>399</v>
      </c>
      <c r="N20" s="101"/>
      <c r="O20" s="98" t="s">
        <v>259</v>
      </c>
      <c r="P20" s="104" t="s">
        <v>400</v>
      </c>
      <c r="Q20" s="108" t="s">
        <v>261</v>
      </c>
      <c r="R20" s="109" t="s">
        <v>401</v>
      </c>
      <c r="S20" s="113"/>
    </row>
    <row r="21" spans="1:19" ht="30" x14ac:dyDescent="0.25">
      <c r="A21" s="99" t="s">
        <v>363</v>
      </c>
      <c r="B21" s="102"/>
      <c r="C21" s="99" t="s">
        <v>264</v>
      </c>
      <c r="D21" s="99" t="s">
        <v>264</v>
      </c>
      <c r="E21" s="99" t="s">
        <v>259</v>
      </c>
      <c r="F21" s="105" t="s">
        <v>364</v>
      </c>
      <c r="G21" s="110" t="s">
        <v>260</v>
      </c>
      <c r="H21" s="111" t="s">
        <v>16</v>
      </c>
      <c r="I21" s="114"/>
      <c r="K21" s="98" t="s">
        <v>264</v>
      </c>
      <c r="L21" s="98" t="s">
        <v>264</v>
      </c>
      <c r="M21" s="98" t="s">
        <v>402</v>
      </c>
      <c r="N21" s="101"/>
      <c r="O21" s="98" t="s">
        <v>259</v>
      </c>
      <c r="P21" s="104" t="s">
        <v>403</v>
      </c>
      <c r="Q21" s="108" t="s">
        <v>261</v>
      </c>
      <c r="R21" s="109" t="s">
        <v>401</v>
      </c>
      <c r="S21" s="113"/>
    </row>
    <row r="22" spans="1:19" x14ac:dyDescent="0.25">
      <c r="K22" s="98" t="s">
        <v>404</v>
      </c>
      <c r="L22" s="101"/>
      <c r="M22" s="98" t="s">
        <v>404</v>
      </c>
      <c r="N22" s="101"/>
      <c r="O22" s="98" t="s">
        <v>259</v>
      </c>
      <c r="P22" s="104" t="s">
        <v>405</v>
      </c>
      <c r="Q22" s="108" t="s">
        <v>260</v>
      </c>
      <c r="R22" s="109" t="s">
        <v>16</v>
      </c>
      <c r="S22" s="113"/>
    </row>
    <row r="23" spans="1:19" x14ac:dyDescent="0.25">
      <c r="K23" s="98" t="s">
        <v>406</v>
      </c>
      <c r="L23" s="101"/>
      <c r="M23" s="98" t="s">
        <v>264</v>
      </c>
      <c r="N23" s="98" t="s">
        <v>264</v>
      </c>
      <c r="O23" s="98" t="s">
        <v>259</v>
      </c>
      <c r="P23" s="104" t="s">
        <v>358</v>
      </c>
      <c r="Q23" s="108" t="s">
        <v>260</v>
      </c>
      <c r="R23" s="109" t="s">
        <v>16</v>
      </c>
      <c r="S23" s="113"/>
    </row>
    <row r="24" spans="1:19" x14ac:dyDescent="0.25">
      <c r="K24" s="98" t="s">
        <v>407</v>
      </c>
      <c r="L24" s="101"/>
      <c r="M24" s="98" t="s">
        <v>264</v>
      </c>
      <c r="N24" s="98" t="s">
        <v>264</v>
      </c>
      <c r="O24" s="98" t="s">
        <v>259</v>
      </c>
      <c r="P24" s="104" t="s">
        <v>408</v>
      </c>
      <c r="Q24" s="108" t="s">
        <v>260</v>
      </c>
      <c r="R24" s="109" t="s">
        <v>16</v>
      </c>
      <c r="S24" s="113"/>
    </row>
    <row r="25" spans="1:19" x14ac:dyDescent="0.25">
      <c r="K25" s="98" t="s">
        <v>409</v>
      </c>
      <c r="L25" s="101"/>
      <c r="M25" s="98" t="s">
        <v>264</v>
      </c>
      <c r="N25" s="98" t="s">
        <v>264</v>
      </c>
      <c r="O25" s="98" t="s">
        <v>259</v>
      </c>
      <c r="P25" s="104" t="s">
        <v>410</v>
      </c>
      <c r="Q25" s="108" t="s">
        <v>260</v>
      </c>
      <c r="R25" s="109" t="s">
        <v>16</v>
      </c>
      <c r="S25" s="113"/>
    </row>
    <row r="26" spans="1:19" ht="30" x14ac:dyDescent="0.25">
      <c r="K26" s="98" t="s">
        <v>411</v>
      </c>
      <c r="L26" s="101"/>
      <c r="M26" s="98" t="s">
        <v>264</v>
      </c>
      <c r="N26" s="98" t="s">
        <v>264</v>
      </c>
      <c r="O26" s="98" t="s">
        <v>259</v>
      </c>
      <c r="P26" s="104" t="s">
        <v>362</v>
      </c>
      <c r="Q26" s="108" t="s">
        <v>260</v>
      </c>
      <c r="R26" s="109" t="s">
        <v>16</v>
      </c>
      <c r="S26" s="113"/>
    </row>
    <row r="27" spans="1:19" ht="30" x14ac:dyDescent="0.25">
      <c r="K27" s="99" t="s">
        <v>412</v>
      </c>
      <c r="L27" s="102"/>
      <c r="M27" s="99" t="s">
        <v>264</v>
      </c>
      <c r="N27" s="99" t="s">
        <v>264</v>
      </c>
      <c r="O27" s="99" t="s">
        <v>259</v>
      </c>
      <c r="P27" s="105" t="s">
        <v>364</v>
      </c>
      <c r="Q27" s="110" t="s">
        <v>260</v>
      </c>
      <c r="R27" s="111" t="s">
        <v>16</v>
      </c>
      <c r="S27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413</v>
      </c>
    </row>
    <row r="2" spans="1:19" x14ac:dyDescent="0.25">
      <c r="A2" s="192" t="s">
        <v>299</v>
      </c>
      <c r="B2" s="193"/>
      <c r="C2" s="193"/>
      <c r="D2" s="193"/>
      <c r="E2" s="193"/>
      <c r="F2" s="193"/>
      <c r="G2" s="193"/>
      <c r="H2" s="193"/>
      <c r="I2" s="194"/>
      <c r="K2" s="192" t="s">
        <v>301</v>
      </c>
      <c r="L2" s="193"/>
      <c r="M2" s="193"/>
      <c r="N2" s="193"/>
      <c r="O2" s="193"/>
      <c r="P2" s="193"/>
      <c r="Q2" s="193"/>
      <c r="R2" s="193"/>
      <c r="S2" s="194"/>
    </row>
    <row r="3" spans="1:19" x14ac:dyDescent="0.25">
      <c r="A3" s="195" t="s">
        <v>414</v>
      </c>
      <c r="B3" s="196"/>
      <c r="C3" s="195" t="s">
        <v>415</v>
      </c>
      <c r="D3" s="196"/>
      <c r="E3" s="195"/>
      <c r="F3" s="197"/>
      <c r="G3" s="197"/>
      <c r="H3" s="197"/>
      <c r="I3" s="196"/>
      <c r="K3" s="195" t="s">
        <v>425</v>
      </c>
      <c r="L3" s="196"/>
      <c r="M3" s="195" t="s">
        <v>426</v>
      </c>
      <c r="N3" s="196"/>
      <c r="O3" s="195"/>
      <c r="P3" s="197"/>
      <c r="Q3" s="197"/>
      <c r="R3" s="197"/>
      <c r="S3" s="196"/>
    </row>
    <row r="4" spans="1:19" ht="45" customHeight="1" x14ac:dyDescent="0.25">
      <c r="A4" s="94" t="s">
        <v>255</v>
      </c>
      <c r="B4" s="95" t="s">
        <v>7</v>
      </c>
      <c r="C4" s="95" t="s">
        <v>255</v>
      </c>
      <c r="D4" s="95" t="s">
        <v>7</v>
      </c>
      <c r="E4" s="95" t="s">
        <v>256</v>
      </c>
      <c r="F4" s="95" t="s">
        <v>6</v>
      </c>
      <c r="G4" s="95" t="s">
        <v>8</v>
      </c>
      <c r="H4" s="95" t="s">
        <v>257</v>
      </c>
      <c r="I4" s="96" t="s">
        <v>9</v>
      </c>
      <c r="K4" s="94" t="s">
        <v>255</v>
      </c>
      <c r="L4" s="95" t="s">
        <v>7</v>
      </c>
      <c r="M4" s="95" t="s">
        <v>255</v>
      </c>
      <c r="N4" s="95" t="s">
        <v>7</v>
      </c>
      <c r="O4" s="95" t="s">
        <v>256</v>
      </c>
      <c r="P4" s="95" t="s">
        <v>6</v>
      </c>
      <c r="Q4" s="95" t="s">
        <v>8</v>
      </c>
      <c r="R4" s="95" t="s">
        <v>257</v>
      </c>
      <c r="S4" s="96" t="s">
        <v>9</v>
      </c>
    </row>
    <row r="5" spans="1:19" x14ac:dyDescent="0.25">
      <c r="A5" s="97" t="s">
        <v>264</v>
      </c>
      <c r="B5" s="97" t="s">
        <v>264</v>
      </c>
      <c r="C5" s="97" t="s">
        <v>416</v>
      </c>
      <c r="D5" s="100"/>
      <c r="E5" s="97" t="s">
        <v>259</v>
      </c>
      <c r="F5" s="103" t="s">
        <v>417</v>
      </c>
      <c r="G5" s="106" t="s">
        <v>334</v>
      </c>
      <c r="H5" s="107" t="s">
        <v>418</v>
      </c>
      <c r="I5" s="112"/>
      <c r="K5" s="97" t="s">
        <v>264</v>
      </c>
      <c r="L5" s="97" t="s">
        <v>264</v>
      </c>
      <c r="M5" s="97" t="s">
        <v>262</v>
      </c>
      <c r="N5" s="100"/>
      <c r="O5" s="97" t="s">
        <v>259</v>
      </c>
      <c r="P5" s="103" t="s">
        <v>427</v>
      </c>
      <c r="Q5" s="106" t="s">
        <v>260</v>
      </c>
      <c r="R5" s="107" t="s">
        <v>16</v>
      </c>
      <c r="S5" s="112"/>
    </row>
    <row r="6" spans="1:19" x14ac:dyDescent="0.25">
      <c r="A6" s="98" t="s">
        <v>264</v>
      </c>
      <c r="B6" s="98" t="s">
        <v>264</v>
      </c>
      <c r="C6" s="98" t="s">
        <v>419</v>
      </c>
      <c r="D6" s="101"/>
      <c r="E6" s="98" t="s">
        <v>259</v>
      </c>
      <c r="F6" s="104" t="s">
        <v>410</v>
      </c>
      <c r="G6" s="108" t="s">
        <v>260</v>
      </c>
      <c r="H6" s="109" t="s">
        <v>16</v>
      </c>
      <c r="I6" s="113"/>
      <c r="K6" s="99" t="s">
        <v>264</v>
      </c>
      <c r="L6" s="99" t="s">
        <v>264</v>
      </c>
      <c r="M6" s="99" t="s">
        <v>428</v>
      </c>
      <c r="N6" s="102"/>
      <c r="O6" s="99" t="s">
        <v>259</v>
      </c>
      <c r="P6" s="105" t="s">
        <v>429</v>
      </c>
      <c r="Q6" s="110" t="s">
        <v>260</v>
      </c>
      <c r="R6" s="111" t="s">
        <v>16</v>
      </c>
      <c r="S6" s="114"/>
    </row>
    <row r="7" spans="1:19" x14ac:dyDescent="0.25">
      <c r="A7" s="98" t="s">
        <v>264</v>
      </c>
      <c r="B7" s="98" t="s">
        <v>264</v>
      </c>
      <c r="C7" s="98" t="s">
        <v>420</v>
      </c>
      <c r="D7" s="101"/>
      <c r="E7" s="98" t="s">
        <v>259</v>
      </c>
      <c r="F7" s="104" t="s">
        <v>360</v>
      </c>
      <c r="G7" s="108" t="s">
        <v>260</v>
      </c>
      <c r="H7" s="109" t="s">
        <v>16</v>
      </c>
      <c r="I7" s="113"/>
    </row>
    <row r="8" spans="1:19" x14ac:dyDescent="0.25">
      <c r="A8" s="98" t="s">
        <v>264</v>
      </c>
      <c r="B8" s="98" t="s">
        <v>264</v>
      </c>
      <c r="C8" s="98" t="s">
        <v>421</v>
      </c>
      <c r="D8" s="101"/>
      <c r="E8" s="98" t="s">
        <v>259</v>
      </c>
      <c r="F8" s="104" t="s">
        <v>422</v>
      </c>
      <c r="G8" s="108" t="s">
        <v>260</v>
      </c>
      <c r="H8" s="109" t="s">
        <v>16</v>
      </c>
      <c r="I8" s="113"/>
    </row>
    <row r="9" spans="1:19" x14ac:dyDescent="0.25">
      <c r="A9" s="98" t="s">
        <v>264</v>
      </c>
      <c r="B9" s="98" t="s">
        <v>264</v>
      </c>
      <c r="C9" s="98" t="s">
        <v>423</v>
      </c>
      <c r="D9" s="101"/>
      <c r="E9" s="98" t="s">
        <v>259</v>
      </c>
      <c r="F9" s="104" t="s">
        <v>358</v>
      </c>
      <c r="G9" s="108" t="s">
        <v>260</v>
      </c>
      <c r="H9" s="109" t="s">
        <v>16</v>
      </c>
      <c r="I9" s="113"/>
    </row>
    <row r="10" spans="1:19" x14ac:dyDescent="0.25">
      <c r="A10" s="99" t="s">
        <v>264</v>
      </c>
      <c r="B10" s="99" t="s">
        <v>264</v>
      </c>
      <c r="C10" s="99" t="s">
        <v>424</v>
      </c>
      <c r="D10" s="102"/>
      <c r="E10" s="99" t="s">
        <v>259</v>
      </c>
      <c r="F10" s="105" t="s">
        <v>408</v>
      </c>
      <c r="G10" s="110" t="s">
        <v>260</v>
      </c>
      <c r="H10" s="111" t="s">
        <v>16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413</v>
      </c>
    </row>
    <row r="2" spans="1:9" x14ac:dyDescent="0.25">
      <c r="A2" s="192" t="s">
        <v>302</v>
      </c>
      <c r="B2" s="193"/>
      <c r="C2" s="193"/>
      <c r="D2" s="193"/>
      <c r="E2" s="193"/>
      <c r="F2" s="193"/>
      <c r="G2" s="193"/>
      <c r="H2" s="193"/>
      <c r="I2" s="194"/>
    </row>
    <row r="3" spans="1:9" x14ac:dyDescent="0.25">
      <c r="A3" s="195" t="s">
        <v>430</v>
      </c>
      <c r="B3" s="196"/>
      <c r="C3" s="195" t="s">
        <v>431</v>
      </c>
      <c r="D3" s="196"/>
      <c r="E3" s="195"/>
      <c r="F3" s="197"/>
      <c r="G3" s="197"/>
      <c r="H3" s="197"/>
      <c r="I3" s="196"/>
    </row>
    <row r="4" spans="1:9" ht="45" customHeight="1" x14ac:dyDescent="0.25">
      <c r="A4" s="94" t="s">
        <v>255</v>
      </c>
      <c r="B4" s="95" t="s">
        <v>7</v>
      </c>
      <c r="C4" s="95" t="s">
        <v>255</v>
      </c>
      <c r="D4" s="95" t="s">
        <v>7</v>
      </c>
      <c r="E4" s="95" t="s">
        <v>256</v>
      </c>
      <c r="F4" s="95" t="s">
        <v>6</v>
      </c>
      <c r="G4" s="95" t="s">
        <v>8</v>
      </c>
      <c r="H4" s="95" t="s">
        <v>257</v>
      </c>
      <c r="I4" s="96" t="s">
        <v>9</v>
      </c>
    </row>
    <row r="5" spans="1:9" ht="45" x14ac:dyDescent="0.25">
      <c r="A5" s="97" t="s">
        <v>432</v>
      </c>
      <c r="B5" s="100"/>
      <c r="C5" s="97" t="s">
        <v>432</v>
      </c>
      <c r="D5" s="100"/>
      <c r="E5" s="97" t="s">
        <v>368</v>
      </c>
      <c r="F5" s="103" t="s">
        <v>433</v>
      </c>
      <c r="G5" s="106" t="s">
        <v>16</v>
      </c>
      <c r="H5" s="107" t="s">
        <v>16</v>
      </c>
      <c r="I5" s="112"/>
    </row>
    <row r="6" spans="1:9" ht="30" x14ac:dyDescent="0.25">
      <c r="A6" s="98" t="s">
        <v>434</v>
      </c>
      <c r="B6" s="101"/>
      <c r="C6" s="98" t="s">
        <v>264</v>
      </c>
      <c r="D6" s="98" t="s">
        <v>264</v>
      </c>
      <c r="E6" s="98" t="s">
        <v>368</v>
      </c>
      <c r="F6" s="104" t="s">
        <v>435</v>
      </c>
      <c r="G6" s="108" t="s">
        <v>16</v>
      </c>
      <c r="H6" s="109" t="s">
        <v>16</v>
      </c>
      <c r="I6" s="113"/>
    </row>
    <row r="7" spans="1:9" ht="30" x14ac:dyDescent="0.25">
      <c r="A7" s="98" t="s">
        <v>264</v>
      </c>
      <c r="B7" s="98" t="s">
        <v>264</v>
      </c>
      <c r="C7" s="98" t="s">
        <v>436</v>
      </c>
      <c r="D7" s="101"/>
      <c r="E7" s="98" t="s">
        <v>368</v>
      </c>
      <c r="F7" s="104" t="s">
        <v>437</v>
      </c>
      <c r="G7" s="108" t="s">
        <v>16</v>
      </c>
      <c r="H7" s="109" t="s">
        <v>16</v>
      </c>
      <c r="I7" s="113"/>
    </row>
    <row r="8" spans="1:9" ht="30" x14ac:dyDescent="0.25">
      <c r="A8" s="98" t="s">
        <v>438</v>
      </c>
      <c r="B8" s="101"/>
      <c r="C8" s="98" t="s">
        <v>438</v>
      </c>
      <c r="D8" s="101"/>
      <c r="E8" s="98" t="s">
        <v>259</v>
      </c>
      <c r="F8" s="104" t="s">
        <v>439</v>
      </c>
      <c r="G8" s="108" t="s">
        <v>261</v>
      </c>
      <c r="H8" s="109" t="s">
        <v>401</v>
      </c>
      <c r="I8" s="113"/>
    </row>
    <row r="9" spans="1:9" ht="30" x14ac:dyDescent="0.25">
      <c r="A9" s="98" t="s">
        <v>440</v>
      </c>
      <c r="B9" s="101"/>
      <c r="C9" s="98" t="s">
        <v>440</v>
      </c>
      <c r="D9" s="101"/>
      <c r="E9" s="98" t="s">
        <v>259</v>
      </c>
      <c r="F9" s="104" t="s">
        <v>441</v>
      </c>
      <c r="G9" s="108" t="s">
        <v>334</v>
      </c>
      <c r="H9" s="109" t="s">
        <v>401</v>
      </c>
      <c r="I9" s="113"/>
    </row>
    <row r="10" spans="1:9" ht="30" x14ac:dyDescent="0.25">
      <c r="A10" s="98" t="s">
        <v>442</v>
      </c>
      <c r="B10" s="101"/>
      <c r="C10" s="98" t="s">
        <v>442</v>
      </c>
      <c r="D10" s="101"/>
      <c r="E10" s="98" t="s">
        <v>259</v>
      </c>
      <c r="F10" s="104" t="s">
        <v>443</v>
      </c>
      <c r="G10" s="108" t="s">
        <v>261</v>
      </c>
      <c r="H10" s="109" t="s">
        <v>401</v>
      </c>
      <c r="I10" s="113"/>
    </row>
    <row r="11" spans="1:9" ht="30" x14ac:dyDescent="0.25">
      <c r="A11" s="98" t="s">
        <v>444</v>
      </c>
      <c r="B11" s="101"/>
      <c r="C11" s="98" t="s">
        <v>444</v>
      </c>
      <c r="D11" s="101"/>
      <c r="E11" s="98" t="s">
        <v>259</v>
      </c>
      <c r="F11" s="104" t="s">
        <v>445</v>
      </c>
      <c r="G11" s="108" t="s">
        <v>334</v>
      </c>
      <c r="H11" s="109" t="s">
        <v>401</v>
      </c>
      <c r="I11" s="113"/>
    </row>
    <row r="12" spans="1:9" ht="30" x14ac:dyDescent="0.25">
      <c r="A12" s="98" t="s">
        <v>264</v>
      </c>
      <c r="B12" s="98" t="s">
        <v>264</v>
      </c>
      <c r="C12" s="98" t="s">
        <v>446</v>
      </c>
      <c r="D12" s="101"/>
      <c r="E12" s="98" t="s">
        <v>259</v>
      </c>
      <c r="F12" s="104" t="s">
        <v>447</v>
      </c>
      <c r="G12" s="108" t="s">
        <v>261</v>
      </c>
      <c r="H12" s="109" t="s">
        <v>401</v>
      </c>
      <c r="I12" s="113"/>
    </row>
    <row r="13" spans="1:9" ht="30" x14ac:dyDescent="0.25">
      <c r="A13" s="98" t="s">
        <v>266</v>
      </c>
      <c r="B13" s="101"/>
      <c r="C13" s="98" t="s">
        <v>266</v>
      </c>
      <c r="D13" s="101"/>
      <c r="E13" s="98" t="s">
        <v>259</v>
      </c>
      <c r="F13" s="104" t="s">
        <v>448</v>
      </c>
      <c r="G13" s="108" t="s">
        <v>261</v>
      </c>
      <c r="H13" s="109" t="s">
        <v>401</v>
      </c>
      <c r="I13" s="113"/>
    </row>
    <row r="14" spans="1:9" ht="30" x14ac:dyDescent="0.25">
      <c r="A14" s="98" t="s">
        <v>449</v>
      </c>
      <c r="B14" s="101"/>
      <c r="C14" s="98" t="s">
        <v>449</v>
      </c>
      <c r="D14" s="101"/>
      <c r="E14" s="98" t="s">
        <v>259</v>
      </c>
      <c r="F14" s="104" t="s">
        <v>450</v>
      </c>
      <c r="G14" s="108" t="s">
        <v>261</v>
      </c>
      <c r="H14" s="109" t="s">
        <v>401</v>
      </c>
      <c r="I14" s="113"/>
    </row>
    <row r="15" spans="1:9" ht="30" x14ac:dyDescent="0.25">
      <c r="A15" s="98" t="s">
        <v>451</v>
      </c>
      <c r="B15" s="101"/>
      <c r="C15" s="98" t="s">
        <v>451</v>
      </c>
      <c r="D15" s="101"/>
      <c r="E15" s="98" t="s">
        <v>259</v>
      </c>
      <c r="F15" s="104" t="s">
        <v>452</v>
      </c>
      <c r="G15" s="108" t="s">
        <v>261</v>
      </c>
      <c r="H15" s="109" t="s">
        <v>401</v>
      </c>
      <c r="I15" s="113"/>
    </row>
    <row r="16" spans="1:9" ht="30" x14ac:dyDescent="0.25">
      <c r="A16" s="98" t="s">
        <v>453</v>
      </c>
      <c r="B16" s="101"/>
      <c r="C16" s="98" t="s">
        <v>453</v>
      </c>
      <c r="D16" s="101"/>
      <c r="E16" s="98" t="s">
        <v>259</v>
      </c>
      <c r="F16" s="104" t="s">
        <v>454</v>
      </c>
      <c r="G16" s="108" t="s">
        <v>261</v>
      </c>
      <c r="H16" s="109" t="s">
        <v>401</v>
      </c>
      <c r="I16" s="113"/>
    </row>
    <row r="17" spans="1:9" ht="30" x14ac:dyDescent="0.25">
      <c r="A17" s="98" t="s">
        <v>455</v>
      </c>
      <c r="B17" s="101"/>
      <c r="C17" s="98" t="s">
        <v>455</v>
      </c>
      <c r="D17" s="101"/>
      <c r="E17" s="98" t="s">
        <v>259</v>
      </c>
      <c r="F17" s="104" t="s">
        <v>456</v>
      </c>
      <c r="G17" s="108" t="s">
        <v>261</v>
      </c>
      <c r="H17" s="109" t="s">
        <v>401</v>
      </c>
      <c r="I17" s="113"/>
    </row>
    <row r="18" spans="1:9" ht="30" x14ac:dyDescent="0.25">
      <c r="A18" s="98" t="s">
        <v>457</v>
      </c>
      <c r="B18" s="101"/>
      <c r="C18" s="98" t="s">
        <v>457</v>
      </c>
      <c r="D18" s="101"/>
      <c r="E18" s="98" t="s">
        <v>259</v>
      </c>
      <c r="F18" s="104" t="s">
        <v>458</v>
      </c>
      <c r="G18" s="108" t="s">
        <v>260</v>
      </c>
      <c r="H18" s="109" t="s">
        <v>16</v>
      </c>
      <c r="I18" s="113"/>
    </row>
    <row r="19" spans="1:9" x14ac:dyDescent="0.25">
      <c r="A19" s="98" t="s">
        <v>459</v>
      </c>
      <c r="B19" s="101"/>
      <c r="C19" s="98" t="s">
        <v>459</v>
      </c>
      <c r="D19" s="101"/>
      <c r="E19" s="98" t="s">
        <v>259</v>
      </c>
      <c r="F19" s="104" t="s">
        <v>460</v>
      </c>
      <c r="G19" s="108" t="s">
        <v>260</v>
      </c>
      <c r="H19" s="109" t="s">
        <v>16</v>
      </c>
      <c r="I19" s="113"/>
    </row>
    <row r="20" spans="1:9" ht="30" x14ac:dyDescent="0.25">
      <c r="A20" s="98" t="s">
        <v>461</v>
      </c>
      <c r="B20" s="101"/>
      <c r="C20" s="98" t="s">
        <v>461</v>
      </c>
      <c r="D20" s="101"/>
      <c r="E20" s="98" t="s">
        <v>259</v>
      </c>
      <c r="F20" s="104" t="s">
        <v>462</v>
      </c>
      <c r="G20" s="108" t="s">
        <v>261</v>
      </c>
      <c r="H20" s="109" t="s">
        <v>265</v>
      </c>
      <c r="I20" s="113"/>
    </row>
    <row r="21" spans="1:9" ht="30" x14ac:dyDescent="0.25">
      <c r="A21" s="98" t="s">
        <v>463</v>
      </c>
      <c r="B21" s="101"/>
      <c r="C21" s="98" t="s">
        <v>463</v>
      </c>
      <c r="D21" s="101"/>
      <c r="E21" s="98" t="s">
        <v>259</v>
      </c>
      <c r="F21" s="104" t="s">
        <v>464</v>
      </c>
      <c r="G21" s="108" t="s">
        <v>261</v>
      </c>
      <c r="H21" s="109" t="s">
        <v>265</v>
      </c>
      <c r="I21" s="113"/>
    </row>
    <row r="22" spans="1:9" x14ac:dyDescent="0.25">
      <c r="A22" s="98" t="s">
        <v>465</v>
      </c>
      <c r="B22" s="101"/>
      <c r="C22" s="98" t="s">
        <v>465</v>
      </c>
      <c r="D22" s="101"/>
      <c r="E22" s="98" t="s">
        <v>259</v>
      </c>
      <c r="F22" s="104" t="s">
        <v>466</v>
      </c>
      <c r="G22" s="108" t="s">
        <v>261</v>
      </c>
      <c r="H22" s="109" t="s">
        <v>265</v>
      </c>
      <c r="I22" s="113"/>
    </row>
    <row r="23" spans="1:9" ht="30" x14ac:dyDescent="0.25">
      <c r="A23" s="98" t="s">
        <v>467</v>
      </c>
      <c r="B23" s="101"/>
      <c r="C23" s="98" t="s">
        <v>467</v>
      </c>
      <c r="D23" s="101"/>
      <c r="E23" s="98" t="s">
        <v>259</v>
      </c>
      <c r="F23" s="104" t="s">
        <v>468</v>
      </c>
      <c r="G23" s="108" t="s">
        <v>261</v>
      </c>
      <c r="H23" s="109" t="s">
        <v>265</v>
      </c>
      <c r="I23" s="113"/>
    </row>
    <row r="24" spans="1:9" ht="30" x14ac:dyDescent="0.25">
      <c r="A24" s="98" t="s">
        <v>264</v>
      </c>
      <c r="B24" s="98" t="s">
        <v>264</v>
      </c>
      <c r="C24" s="98" t="s">
        <v>469</v>
      </c>
      <c r="D24" s="101"/>
      <c r="E24" s="98" t="s">
        <v>259</v>
      </c>
      <c r="F24" s="104" t="s">
        <v>470</v>
      </c>
      <c r="G24" s="108" t="s">
        <v>261</v>
      </c>
      <c r="H24" s="109" t="s">
        <v>265</v>
      </c>
      <c r="I24" s="113"/>
    </row>
    <row r="25" spans="1:9" x14ac:dyDescent="0.25">
      <c r="A25" s="98" t="s">
        <v>471</v>
      </c>
      <c r="B25" s="101"/>
      <c r="C25" s="98" t="s">
        <v>264</v>
      </c>
      <c r="D25" s="98" t="s">
        <v>264</v>
      </c>
      <c r="E25" s="98" t="s">
        <v>259</v>
      </c>
      <c r="F25" s="104" t="s">
        <v>472</v>
      </c>
      <c r="G25" s="108" t="s">
        <v>261</v>
      </c>
      <c r="H25" s="109" t="s">
        <v>265</v>
      </c>
      <c r="I25" s="113"/>
    </row>
    <row r="26" spans="1:9" x14ac:dyDescent="0.25">
      <c r="A26" s="98" t="s">
        <v>473</v>
      </c>
      <c r="B26" s="101"/>
      <c r="C26" s="98" t="s">
        <v>264</v>
      </c>
      <c r="D26" s="98" t="s">
        <v>264</v>
      </c>
      <c r="E26" s="98" t="s">
        <v>259</v>
      </c>
      <c r="F26" s="104" t="s">
        <v>474</v>
      </c>
      <c r="G26" s="108" t="s">
        <v>261</v>
      </c>
      <c r="H26" s="109" t="s">
        <v>265</v>
      </c>
      <c r="I26" s="113"/>
    </row>
    <row r="27" spans="1:9" ht="30" x14ac:dyDescent="0.25">
      <c r="A27" s="98" t="s">
        <v>264</v>
      </c>
      <c r="B27" s="98" t="s">
        <v>264</v>
      </c>
      <c r="C27" s="98" t="s">
        <v>475</v>
      </c>
      <c r="D27" s="101"/>
      <c r="E27" s="98" t="s">
        <v>259</v>
      </c>
      <c r="F27" s="104" t="s">
        <v>476</v>
      </c>
      <c r="G27" s="108" t="s">
        <v>261</v>
      </c>
      <c r="H27" s="109" t="s">
        <v>265</v>
      </c>
      <c r="I27" s="113"/>
    </row>
    <row r="28" spans="1:9" ht="30" x14ac:dyDescent="0.25">
      <c r="A28" s="98" t="s">
        <v>264</v>
      </c>
      <c r="B28" s="98" t="s">
        <v>264</v>
      </c>
      <c r="C28" s="98" t="s">
        <v>477</v>
      </c>
      <c r="D28" s="101"/>
      <c r="E28" s="98" t="s">
        <v>259</v>
      </c>
      <c r="F28" s="104" t="s">
        <v>478</v>
      </c>
      <c r="G28" s="108" t="s">
        <v>261</v>
      </c>
      <c r="H28" s="109" t="s">
        <v>265</v>
      </c>
      <c r="I28" s="113"/>
    </row>
    <row r="29" spans="1:9" ht="30" x14ac:dyDescent="0.25">
      <c r="A29" s="98" t="s">
        <v>479</v>
      </c>
      <c r="B29" s="101"/>
      <c r="C29" s="98" t="s">
        <v>479</v>
      </c>
      <c r="D29" s="101"/>
      <c r="E29" s="98" t="s">
        <v>259</v>
      </c>
      <c r="F29" s="104" t="s">
        <v>400</v>
      </c>
      <c r="G29" s="108" t="s">
        <v>261</v>
      </c>
      <c r="H29" s="109" t="s">
        <v>401</v>
      </c>
      <c r="I29" s="113"/>
    </row>
    <row r="30" spans="1:9" ht="30" x14ac:dyDescent="0.25">
      <c r="A30" s="98" t="s">
        <v>480</v>
      </c>
      <c r="B30" s="101"/>
      <c r="C30" s="98" t="s">
        <v>480</v>
      </c>
      <c r="D30" s="101"/>
      <c r="E30" s="98" t="s">
        <v>259</v>
      </c>
      <c r="F30" s="104" t="s">
        <v>403</v>
      </c>
      <c r="G30" s="108" t="s">
        <v>261</v>
      </c>
      <c r="H30" s="109" t="s">
        <v>401</v>
      </c>
      <c r="I30" s="113"/>
    </row>
    <row r="31" spans="1:9" x14ac:dyDescent="0.25">
      <c r="A31" s="98" t="s">
        <v>264</v>
      </c>
      <c r="B31" s="98" t="s">
        <v>264</v>
      </c>
      <c r="C31" s="98" t="s">
        <v>481</v>
      </c>
      <c r="D31" s="101"/>
      <c r="E31" s="98" t="s">
        <v>259</v>
      </c>
      <c r="F31" s="104" t="s">
        <v>482</v>
      </c>
      <c r="G31" s="108" t="s">
        <v>260</v>
      </c>
      <c r="H31" s="109" t="s">
        <v>16</v>
      </c>
      <c r="I31" s="113"/>
    </row>
    <row r="32" spans="1:9" x14ac:dyDescent="0.25">
      <c r="A32" s="98" t="s">
        <v>483</v>
      </c>
      <c r="B32" s="101"/>
      <c r="C32" s="98" t="s">
        <v>264</v>
      </c>
      <c r="D32" s="98" t="s">
        <v>264</v>
      </c>
      <c r="E32" s="98" t="s">
        <v>259</v>
      </c>
      <c r="F32" s="104" t="s">
        <v>484</v>
      </c>
      <c r="G32" s="108" t="s">
        <v>260</v>
      </c>
      <c r="H32" s="109" t="s">
        <v>16</v>
      </c>
      <c r="I32" s="113"/>
    </row>
    <row r="33" spans="1:9" x14ac:dyDescent="0.25">
      <c r="A33" s="99" t="s">
        <v>485</v>
      </c>
      <c r="B33" s="102"/>
      <c r="C33" s="99" t="s">
        <v>264</v>
      </c>
      <c r="D33" s="99" t="s">
        <v>264</v>
      </c>
      <c r="E33" s="99" t="s">
        <v>259</v>
      </c>
      <c r="F33" s="105" t="s">
        <v>486</v>
      </c>
      <c r="G33" s="110" t="s">
        <v>260</v>
      </c>
      <c r="H33" s="111" t="s">
        <v>16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2" t="s">
        <v>413</v>
      </c>
    </row>
    <row r="2" spans="1:13" x14ac:dyDescent="0.25">
      <c r="A2" s="192" t="s">
        <v>304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4"/>
    </row>
    <row r="3" spans="1:13" x14ac:dyDescent="0.25">
      <c r="A3" s="195" t="s">
        <v>487</v>
      </c>
      <c r="B3" s="196"/>
      <c r="C3" s="195" t="s">
        <v>488</v>
      </c>
      <c r="D3" s="196"/>
      <c r="E3" s="195" t="s">
        <v>489</v>
      </c>
      <c r="F3" s="196"/>
      <c r="G3" s="195" t="s">
        <v>490</v>
      </c>
      <c r="H3" s="196"/>
      <c r="I3" s="195"/>
      <c r="J3" s="197"/>
      <c r="K3" s="197"/>
      <c r="L3" s="197"/>
      <c r="M3" s="196"/>
    </row>
    <row r="4" spans="1:13" ht="45" customHeight="1" x14ac:dyDescent="0.25">
      <c r="A4" s="94" t="s">
        <v>255</v>
      </c>
      <c r="B4" s="95" t="s">
        <v>7</v>
      </c>
      <c r="C4" s="95" t="s">
        <v>255</v>
      </c>
      <c r="D4" s="95" t="s">
        <v>7</v>
      </c>
      <c r="E4" s="95" t="s">
        <v>255</v>
      </c>
      <c r="F4" s="95" t="s">
        <v>7</v>
      </c>
      <c r="G4" s="95" t="s">
        <v>255</v>
      </c>
      <c r="H4" s="95" t="s">
        <v>7</v>
      </c>
      <c r="I4" s="95" t="s">
        <v>256</v>
      </c>
      <c r="J4" s="95" t="s">
        <v>6</v>
      </c>
      <c r="K4" s="95" t="s">
        <v>8</v>
      </c>
      <c r="L4" s="95" t="s">
        <v>257</v>
      </c>
      <c r="M4" s="96" t="s">
        <v>9</v>
      </c>
    </row>
    <row r="5" spans="1:13" x14ac:dyDescent="0.25">
      <c r="A5" s="97" t="s">
        <v>491</v>
      </c>
      <c r="B5" s="100"/>
      <c r="C5" s="97" t="s">
        <v>491</v>
      </c>
      <c r="D5" s="100"/>
      <c r="E5" s="97" t="s">
        <v>491</v>
      </c>
      <c r="F5" s="100"/>
      <c r="G5" s="97" t="s">
        <v>491</v>
      </c>
      <c r="H5" s="100"/>
      <c r="I5" s="97" t="s">
        <v>259</v>
      </c>
      <c r="J5" s="103" t="s">
        <v>492</v>
      </c>
      <c r="K5" s="106" t="s">
        <v>334</v>
      </c>
      <c r="L5" s="107" t="s">
        <v>331</v>
      </c>
      <c r="M5" s="112"/>
    </row>
    <row r="6" spans="1:13" ht="30" x14ac:dyDescent="0.25">
      <c r="A6" s="98" t="s">
        <v>264</v>
      </c>
      <c r="B6" s="98" t="s">
        <v>264</v>
      </c>
      <c r="C6" s="98" t="s">
        <v>493</v>
      </c>
      <c r="D6" s="101"/>
      <c r="E6" s="98" t="s">
        <v>264</v>
      </c>
      <c r="F6" s="98" t="s">
        <v>264</v>
      </c>
      <c r="G6" s="98" t="s">
        <v>493</v>
      </c>
      <c r="H6" s="101"/>
      <c r="I6" s="98" t="s">
        <v>258</v>
      </c>
      <c r="J6" s="104" t="s">
        <v>494</v>
      </c>
      <c r="K6" s="108" t="s">
        <v>16</v>
      </c>
      <c r="L6" s="109" t="s">
        <v>16</v>
      </c>
      <c r="M6" s="113"/>
    </row>
    <row r="7" spans="1:13" x14ac:dyDescent="0.25">
      <c r="A7" s="98" t="s">
        <v>264</v>
      </c>
      <c r="B7" s="98" t="s">
        <v>264</v>
      </c>
      <c r="C7" s="98" t="s">
        <v>495</v>
      </c>
      <c r="D7" s="101"/>
      <c r="E7" s="98" t="s">
        <v>264</v>
      </c>
      <c r="F7" s="98" t="s">
        <v>264</v>
      </c>
      <c r="G7" s="98" t="s">
        <v>495</v>
      </c>
      <c r="H7" s="101"/>
      <c r="I7" s="98" t="s">
        <v>259</v>
      </c>
      <c r="J7" s="104" t="s">
        <v>496</v>
      </c>
      <c r="K7" s="108" t="s">
        <v>261</v>
      </c>
      <c r="L7" s="109" t="s">
        <v>265</v>
      </c>
      <c r="M7" s="113"/>
    </row>
    <row r="8" spans="1:13" ht="30" x14ac:dyDescent="0.25">
      <c r="A8" s="98" t="s">
        <v>497</v>
      </c>
      <c r="B8" s="101"/>
      <c r="C8" s="98" t="s">
        <v>497</v>
      </c>
      <c r="D8" s="101"/>
      <c r="E8" s="98" t="s">
        <v>264</v>
      </c>
      <c r="F8" s="98" t="s">
        <v>264</v>
      </c>
      <c r="G8" s="98" t="s">
        <v>264</v>
      </c>
      <c r="H8" s="98" t="s">
        <v>264</v>
      </c>
      <c r="I8" s="98" t="s">
        <v>259</v>
      </c>
      <c r="J8" s="104" t="s">
        <v>498</v>
      </c>
      <c r="K8" s="108" t="s">
        <v>334</v>
      </c>
      <c r="L8" s="109" t="s">
        <v>331</v>
      </c>
      <c r="M8" s="113"/>
    </row>
    <row r="9" spans="1:13" x14ac:dyDescent="0.25">
      <c r="A9" s="98" t="s">
        <v>499</v>
      </c>
      <c r="B9" s="101"/>
      <c r="C9" s="98" t="s">
        <v>499</v>
      </c>
      <c r="D9" s="101"/>
      <c r="E9" s="98" t="s">
        <v>264</v>
      </c>
      <c r="F9" s="98" t="s">
        <v>264</v>
      </c>
      <c r="G9" s="98" t="s">
        <v>264</v>
      </c>
      <c r="H9" s="98" t="s">
        <v>264</v>
      </c>
      <c r="I9" s="98" t="s">
        <v>259</v>
      </c>
      <c r="J9" s="104" t="s">
        <v>500</v>
      </c>
      <c r="K9" s="108" t="s">
        <v>260</v>
      </c>
      <c r="L9" s="109" t="s">
        <v>16</v>
      </c>
      <c r="M9" s="113"/>
    </row>
    <row r="10" spans="1:13" x14ac:dyDescent="0.25">
      <c r="A10" s="98" t="s">
        <v>264</v>
      </c>
      <c r="B10" s="98" t="s">
        <v>264</v>
      </c>
      <c r="C10" s="98" t="s">
        <v>501</v>
      </c>
      <c r="D10" s="101"/>
      <c r="E10" s="98" t="s">
        <v>264</v>
      </c>
      <c r="F10" s="98" t="s">
        <v>264</v>
      </c>
      <c r="G10" s="98" t="s">
        <v>264</v>
      </c>
      <c r="H10" s="98" t="s">
        <v>264</v>
      </c>
      <c r="I10" s="98" t="s">
        <v>259</v>
      </c>
      <c r="J10" s="104" t="s">
        <v>502</v>
      </c>
      <c r="K10" s="108" t="s">
        <v>260</v>
      </c>
      <c r="L10" s="109" t="s">
        <v>16</v>
      </c>
      <c r="M10" s="113"/>
    </row>
    <row r="11" spans="1:13" ht="30" x14ac:dyDescent="0.25">
      <c r="A11" s="98" t="s">
        <v>264</v>
      </c>
      <c r="B11" s="98" t="s">
        <v>264</v>
      </c>
      <c r="C11" s="98" t="s">
        <v>503</v>
      </c>
      <c r="D11" s="101"/>
      <c r="E11" s="98" t="s">
        <v>264</v>
      </c>
      <c r="F11" s="98" t="s">
        <v>264</v>
      </c>
      <c r="G11" s="98" t="s">
        <v>264</v>
      </c>
      <c r="H11" s="98" t="s">
        <v>264</v>
      </c>
      <c r="I11" s="98" t="s">
        <v>259</v>
      </c>
      <c r="J11" s="104" t="s">
        <v>504</v>
      </c>
      <c r="K11" s="108" t="s">
        <v>334</v>
      </c>
      <c r="L11" s="109" t="s">
        <v>331</v>
      </c>
      <c r="M11" s="113"/>
    </row>
    <row r="12" spans="1:13" ht="30" x14ac:dyDescent="0.25">
      <c r="A12" s="98" t="s">
        <v>264</v>
      </c>
      <c r="B12" s="98" t="s">
        <v>264</v>
      </c>
      <c r="C12" s="98" t="s">
        <v>505</v>
      </c>
      <c r="D12" s="101"/>
      <c r="E12" s="98" t="s">
        <v>264</v>
      </c>
      <c r="F12" s="98" t="s">
        <v>264</v>
      </c>
      <c r="G12" s="98" t="s">
        <v>264</v>
      </c>
      <c r="H12" s="98" t="s">
        <v>264</v>
      </c>
      <c r="I12" s="98" t="s">
        <v>259</v>
      </c>
      <c r="J12" s="104" t="s">
        <v>506</v>
      </c>
      <c r="K12" s="108" t="s">
        <v>334</v>
      </c>
      <c r="L12" s="109" t="s">
        <v>331</v>
      </c>
      <c r="M12" s="113"/>
    </row>
    <row r="13" spans="1:13" x14ac:dyDescent="0.25">
      <c r="A13" s="98" t="s">
        <v>507</v>
      </c>
      <c r="B13" s="101"/>
      <c r="C13" s="98" t="s">
        <v>264</v>
      </c>
      <c r="D13" s="98" t="s">
        <v>264</v>
      </c>
      <c r="E13" s="98" t="s">
        <v>264</v>
      </c>
      <c r="F13" s="98" t="s">
        <v>264</v>
      </c>
      <c r="G13" s="98" t="s">
        <v>264</v>
      </c>
      <c r="H13" s="98" t="s">
        <v>264</v>
      </c>
      <c r="I13" s="98" t="s">
        <v>259</v>
      </c>
      <c r="J13" s="104" t="s">
        <v>410</v>
      </c>
      <c r="K13" s="108" t="s">
        <v>260</v>
      </c>
      <c r="L13" s="109" t="s">
        <v>16</v>
      </c>
      <c r="M13" s="113"/>
    </row>
    <row r="14" spans="1:13" ht="30" x14ac:dyDescent="0.25">
      <c r="A14" s="98" t="s">
        <v>264</v>
      </c>
      <c r="B14" s="98" t="s">
        <v>264</v>
      </c>
      <c r="C14" s="98" t="s">
        <v>264</v>
      </c>
      <c r="D14" s="98" t="s">
        <v>264</v>
      </c>
      <c r="E14" s="98" t="s">
        <v>508</v>
      </c>
      <c r="F14" s="101"/>
      <c r="G14" s="98" t="s">
        <v>508</v>
      </c>
      <c r="H14" s="101"/>
      <c r="I14" s="98" t="s">
        <v>259</v>
      </c>
      <c r="J14" s="104" t="s">
        <v>498</v>
      </c>
      <c r="K14" s="108" t="s">
        <v>334</v>
      </c>
      <c r="L14" s="109" t="s">
        <v>331</v>
      </c>
      <c r="M14" s="113"/>
    </row>
    <row r="15" spans="1:13" x14ac:dyDescent="0.25">
      <c r="A15" s="98" t="s">
        <v>264</v>
      </c>
      <c r="B15" s="98" t="s">
        <v>264</v>
      </c>
      <c r="C15" s="98" t="s">
        <v>264</v>
      </c>
      <c r="D15" s="98" t="s">
        <v>264</v>
      </c>
      <c r="E15" s="98" t="s">
        <v>509</v>
      </c>
      <c r="F15" s="101"/>
      <c r="G15" s="98" t="s">
        <v>509</v>
      </c>
      <c r="H15" s="101"/>
      <c r="I15" s="98" t="s">
        <v>259</v>
      </c>
      <c r="J15" s="104" t="s">
        <v>500</v>
      </c>
      <c r="K15" s="108" t="s">
        <v>260</v>
      </c>
      <c r="L15" s="109" t="s">
        <v>16</v>
      </c>
      <c r="M15" s="113"/>
    </row>
    <row r="16" spans="1:13" x14ac:dyDescent="0.25">
      <c r="A16" s="98" t="s">
        <v>264</v>
      </c>
      <c r="B16" s="98" t="s">
        <v>264</v>
      </c>
      <c r="C16" s="98" t="s">
        <v>264</v>
      </c>
      <c r="D16" s="98" t="s">
        <v>264</v>
      </c>
      <c r="E16" s="98" t="s">
        <v>510</v>
      </c>
      <c r="F16" s="101"/>
      <c r="G16" s="98" t="s">
        <v>510</v>
      </c>
      <c r="H16" s="101"/>
      <c r="I16" s="98" t="s">
        <v>259</v>
      </c>
      <c r="J16" s="104" t="s">
        <v>511</v>
      </c>
      <c r="K16" s="108" t="s">
        <v>260</v>
      </c>
      <c r="L16" s="109" t="s">
        <v>16</v>
      </c>
      <c r="M16" s="113"/>
    </row>
    <row r="17" spans="1:13" ht="30" x14ac:dyDescent="0.25">
      <c r="A17" s="98" t="s">
        <v>264</v>
      </c>
      <c r="B17" s="98" t="s">
        <v>264</v>
      </c>
      <c r="C17" s="98" t="s">
        <v>264</v>
      </c>
      <c r="D17" s="98" t="s">
        <v>264</v>
      </c>
      <c r="E17" s="98" t="s">
        <v>264</v>
      </c>
      <c r="F17" s="98" t="s">
        <v>264</v>
      </c>
      <c r="G17" s="98" t="s">
        <v>512</v>
      </c>
      <c r="H17" s="101"/>
      <c r="I17" s="98" t="s">
        <v>259</v>
      </c>
      <c r="J17" s="104" t="s">
        <v>504</v>
      </c>
      <c r="K17" s="108" t="s">
        <v>334</v>
      </c>
      <c r="L17" s="109" t="s">
        <v>331</v>
      </c>
      <c r="M17" s="113"/>
    </row>
    <row r="18" spans="1:13" ht="30" x14ac:dyDescent="0.25">
      <c r="A18" s="98" t="s">
        <v>264</v>
      </c>
      <c r="B18" s="98" t="s">
        <v>264</v>
      </c>
      <c r="C18" s="98" t="s">
        <v>264</v>
      </c>
      <c r="D18" s="98" t="s">
        <v>264</v>
      </c>
      <c r="E18" s="98" t="s">
        <v>264</v>
      </c>
      <c r="F18" s="98" t="s">
        <v>264</v>
      </c>
      <c r="G18" s="98" t="s">
        <v>513</v>
      </c>
      <c r="H18" s="101"/>
      <c r="I18" s="98" t="s">
        <v>259</v>
      </c>
      <c r="J18" s="104" t="s">
        <v>506</v>
      </c>
      <c r="K18" s="108" t="s">
        <v>334</v>
      </c>
      <c r="L18" s="109" t="s">
        <v>331</v>
      </c>
      <c r="M18" s="113"/>
    </row>
    <row r="19" spans="1:13" x14ac:dyDescent="0.25">
      <c r="A19" s="99" t="s">
        <v>264</v>
      </c>
      <c r="B19" s="99" t="s">
        <v>264</v>
      </c>
      <c r="C19" s="99" t="s">
        <v>264</v>
      </c>
      <c r="D19" s="99" t="s">
        <v>264</v>
      </c>
      <c r="E19" s="99" t="s">
        <v>514</v>
      </c>
      <c r="F19" s="102"/>
      <c r="G19" s="99" t="s">
        <v>264</v>
      </c>
      <c r="H19" s="99" t="s">
        <v>264</v>
      </c>
      <c r="I19" s="99" t="s">
        <v>259</v>
      </c>
      <c r="J19" s="105" t="s">
        <v>410</v>
      </c>
      <c r="K19" s="110" t="s">
        <v>260</v>
      </c>
      <c r="L19" s="111" t="s">
        <v>16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413</v>
      </c>
    </row>
    <row r="2" spans="1:19" x14ac:dyDescent="0.25">
      <c r="A2" s="192" t="s">
        <v>306</v>
      </c>
      <c r="B2" s="193"/>
      <c r="C2" s="193"/>
      <c r="D2" s="193"/>
      <c r="E2" s="193"/>
      <c r="F2" s="193"/>
      <c r="G2" s="193"/>
      <c r="H2" s="193"/>
      <c r="I2" s="194"/>
      <c r="K2" s="192" t="s">
        <v>308</v>
      </c>
      <c r="L2" s="193"/>
      <c r="M2" s="193"/>
      <c r="N2" s="193"/>
      <c r="O2" s="193"/>
      <c r="P2" s="193"/>
      <c r="Q2" s="193"/>
      <c r="R2" s="193"/>
      <c r="S2" s="194"/>
    </row>
    <row r="3" spans="1:19" x14ac:dyDescent="0.25">
      <c r="A3" s="195" t="s">
        <v>515</v>
      </c>
      <c r="B3" s="196"/>
      <c r="C3" s="195" t="s">
        <v>516</v>
      </c>
      <c r="D3" s="196"/>
      <c r="E3" s="195"/>
      <c r="F3" s="197"/>
      <c r="G3" s="197"/>
      <c r="H3" s="197"/>
      <c r="I3" s="196"/>
      <c r="K3" s="195" t="s">
        <v>529</v>
      </c>
      <c r="L3" s="196"/>
      <c r="M3" s="195" t="s">
        <v>530</v>
      </c>
      <c r="N3" s="196"/>
      <c r="O3" s="195"/>
      <c r="P3" s="197"/>
      <c r="Q3" s="197"/>
      <c r="R3" s="197"/>
      <c r="S3" s="196"/>
    </row>
    <row r="4" spans="1:19" ht="45" customHeight="1" x14ac:dyDescent="0.25">
      <c r="A4" s="94" t="s">
        <v>255</v>
      </c>
      <c r="B4" s="95" t="s">
        <v>7</v>
      </c>
      <c r="C4" s="95" t="s">
        <v>255</v>
      </c>
      <c r="D4" s="95" t="s">
        <v>7</v>
      </c>
      <c r="E4" s="95" t="s">
        <v>256</v>
      </c>
      <c r="F4" s="95" t="s">
        <v>6</v>
      </c>
      <c r="G4" s="95" t="s">
        <v>8</v>
      </c>
      <c r="H4" s="95" t="s">
        <v>257</v>
      </c>
      <c r="I4" s="96" t="s">
        <v>9</v>
      </c>
      <c r="K4" s="94" t="s">
        <v>255</v>
      </c>
      <c r="L4" s="95" t="s">
        <v>7</v>
      </c>
      <c r="M4" s="95" t="s">
        <v>255</v>
      </c>
      <c r="N4" s="95" t="s">
        <v>7</v>
      </c>
      <c r="O4" s="95" t="s">
        <v>256</v>
      </c>
      <c r="P4" s="95" t="s">
        <v>6</v>
      </c>
      <c r="Q4" s="95" t="s">
        <v>8</v>
      </c>
      <c r="R4" s="95" t="s">
        <v>257</v>
      </c>
      <c r="S4" s="96" t="s">
        <v>9</v>
      </c>
    </row>
    <row r="5" spans="1:19" ht="30" x14ac:dyDescent="0.25">
      <c r="A5" s="97" t="s">
        <v>267</v>
      </c>
      <c r="B5" s="100"/>
      <c r="C5" s="97" t="s">
        <v>267</v>
      </c>
      <c r="D5" s="100"/>
      <c r="E5" s="97" t="s">
        <v>259</v>
      </c>
      <c r="F5" s="103" t="s">
        <v>517</v>
      </c>
      <c r="G5" s="106" t="s">
        <v>261</v>
      </c>
      <c r="H5" s="107" t="s">
        <v>401</v>
      </c>
      <c r="I5" s="112"/>
      <c r="K5" s="97" t="s">
        <v>531</v>
      </c>
      <c r="L5" s="100"/>
      <c r="M5" s="97" t="s">
        <v>531</v>
      </c>
      <c r="N5" s="100"/>
      <c r="O5" s="97" t="s">
        <v>258</v>
      </c>
      <c r="P5" s="103" t="s">
        <v>532</v>
      </c>
      <c r="Q5" s="106" t="s">
        <v>16</v>
      </c>
      <c r="R5" s="107" t="s">
        <v>16</v>
      </c>
      <c r="S5" s="112"/>
    </row>
    <row r="6" spans="1:19" ht="30" x14ac:dyDescent="0.25">
      <c r="A6" s="98" t="s">
        <v>518</v>
      </c>
      <c r="B6" s="101"/>
      <c r="C6" s="98" t="s">
        <v>518</v>
      </c>
      <c r="D6" s="101"/>
      <c r="E6" s="98" t="s">
        <v>259</v>
      </c>
      <c r="F6" s="104" t="s">
        <v>519</v>
      </c>
      <c r="G6" s="108" t="s">
        <v>261</v>
      </c>
      <c r="H6" s="109" t="s">
        <v>401</v>
      </c>
      <c r="I6" s="113"/>
      <c r="K6" s="98" t="s">
        <v>533</v>
      </c>
      <c r="L6" s="101"/>
      <c r="M6" s="98" t="s">
        <v>533</v>
      </c>
      <c r="N6" s="101"/>
      <c r="O6" s="98" t="s">
        <v>259</v>
      </c>
      <c r="P6" s="104" t="s">
        <v>534</v>
      </c>
      <c r="Q6" s="108" t="s">
        <v>261</v>
      </c>
      <c r="R6" s="109" t="s">
        <v>331</v>
      </c>
      <c r="S6" s="113"/>
    </row>
    <row r="7" spans="1:19" ht="30" x14ac:dyDescent="0.25">
      <c r="A7" s="98" t="s">
        <v>520</v>
      </c>
      <c r="B7" s="101"/>
      <c r="C7" s="98" t="s">
        <v>520</v>
      </c>
      <c r="D7" s="101"/>
      <c r="E7" s="98" t="s">
        <v>259</v>
      </c>
      <c r="F7" s="104" t="s">
        <v>521</v>
      </c>
      <c r="G7" s="108" t="s">
        <v>261</v>
      </c>
      <c r="H7" s="109" t="s">
        <v>401</v>
      </c>
      <c r="I7" s="113"/>
      <c r="K7" s="98" t="s">
        <v>535</v>
      </c>
      <c r="L7" s="101"/>
      <c r="M7" s="98" t="s">
        <v>535</v>
      </c>
      <c r="N7" s="101"/>
      <c r="O7" s="98" t="s">
        <v>259</v>
      </c>
      <c r="P7" s="104" t="s">
        <v>536</v>
      </c>
      <c r="Q7" s="108" t="s">
        <v>261</v>
      </c>
      <c r="R7" s="109" t="s">
        <v>331</v>
      </c>
      <c r="S7" s="113"/>
    </row>
    <row r="8" spans="1:19" ht="30" x14ac:dyDescent="0.25">
      <c r="A8" s="98" t="s">
        <v>522</v>
      </c>
      <c r="B8" s="101"/>
      <c r="C8" s="98" t="s">
        <v>522</v>
      </c>
      <c r="D8" s="101"/>
      <c r="E8" s="98" t="s">
        <v>258</v>
      </c>
      <c r="F8" s="104" t="s">
        <v>523</v>
      </c>
      <c r="G8" s="108" t="s">
        <v>16</v>
      </c>
      <c r="H8" s="109" t="s">
        <v>16</v>
      </c>
      <c r="I8" s="113"/>
      <c r="K8" s="98" t="s">
        <v>537</v>
      </c>
      <c r="L8" s="101"/>
      <c r="M8" s="98" t="s">
        <v>264</v>
      </c>
      <c r="N8" s="98" t="s">
        <v>264</v>
      </c>
      <c r="O8" s="98" t="s">
        <v>259</v>
      </c>
      <c r="P8" s="104" t="s">
        <v>358</v>
      </c>
      <c r="Q8" s="108" t="s">
        <v>260</v>
      </c>
      <c r="R8" s="109" t="s">
        <v>16</v>
      </c>
      <c r="S8" s="113"/>
    </row>
    <row r="9" spans="1:19" ht="30" x14ac:dyDescent="0.25">
      <c r="A9" s="98" t="s">
        <v>524</v>
      </c>
      <c r="B9" s="101"/>
      <c r="C9" s="98" t="s">
        <v>524</v>
      </c>
      <c r="D9" s="101"/>
      <c r="E9" s="98" t="s">
        <v>258</v>
      </c>
      <c r="F9" s="104" t="s">
        <v>525</v>
      </c>
      <c r="G9" s="108" t="s">
        <v>16</v>
      </c>
      <c r="H9" s="109" t="s">
        <v>16</v>
      </c>
      <c r="I9" s="113"/>
      <c r="K9" s="99" t="s">
        <v>538</v>
      </c>
      <c r="L9" s="102"/>
      <c r="M9" s="99" t="s">
        <v>264</v>
      </c>
      <c r="N9" s="99" t="s">
        <v>264</v>
      </c>
      <c r="O9" s="99" t="s">
        <v>259</v>
      </c>
      <c r="P9" s="105" t="s">
        <v>410</v>
      </c>
      <c r="Q9" s="110" t="s">
        <v>260</v>
      </c>
      <c r="R9" s="111" t="s">
        <v>16</v>
      </c>
      <c r="S9" s="114"/>
    </row>
    <row r="10" spans="1:19" ht="30" x14ac:dyDescent="0.25">
      <c r="A10" s="98" t="s">
        <v>526</v>
      </c>
      <c r="B10" s="101"/>
      <c r="C10" s="98" t="s">
        <v>526</v>
      </c>
      <c r="D10" s="101"/>
      <c r="E10" s="98" t="s">
        <v>259</v>
      </c>
      <c r="F10" s="104" t="s">
        <v>527</v>
      </c>
      <c r="G10" s="108" t="s">
        <v>261</v>
      </c>
      <c r="H10" s="109" t="s">
        <v>265</v>
      </c>
      <c r="I10" s="113"/>
    </row>
    <row r="11" spans="1:19" x14ac:dyDescent="0.25">
      <c r="A11" s="99" t="s">
        <v>528</v>
      </c>
      <c r="B11" s="102"/>
      <c r="C11" s="99" t="s">
        <v>264</v>
      </c>
      <c r="D11" s="99" t="s">
        <v>264</v>
      </c>
      <c r="E11" s="99" t="s">
        <v>259</v>
      </c>
      <c r="F11" s="105" t="s">
        <v>486</v>
      </c>
      <c r="G11" s="110" t="s">
        <v>260</v>
      </c>
      <c r="H11" s="111" t="s">
        <v>16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413</v>
      </c>
    </row>
    <row r="2" spans="1:23" x14ac:dyDescent="0.25">
      <c r="A2" s="192" t="s">
        <v>309</v>
      </c>
      <c r="B2" s="193"/>
      <c r="C2" s="193"/>
      <c r="D2" s="193"/>
      <c r="E2" s="193"/>
      <c r="F2" s="193"/>
      <c r="G2" s="194"/>
      <c r="I2" s="192" t="s">
        <v>311</v>
      </c>
      <c r="J2" s="193"/>
      <c r="K2" s="193"/>
      <c r="L2" s="193"/>
      <c r="M2" s="193"/>
      <c r="N2" s="193"/>
      <c r="O2" s="194"/>
      <c r="Q2" s="192" t="s">
        <v>313</v>
      </c>
      <c r="R2" s="193"/>
      <c r="S2" s="193"/>
      <c r="T2" s="193"/>
      <c r="U2" s="193"/>
      <c r="V2" s="193"/>
      <c r="W2" s="194"/>
    </row>
    <row r="3" spans="1:23" x14ac:dyDescent="0.25">
      <c r="A3" s="195" t="s">
        <v>310</v>
      </c>
      <c r="B3" s="196"/>
      <c r="C3" s="195"/>
      <c r="D3" s="197"/>
      <c r="E3" s="197"/>
      <c r="F3" s="197"/>
      <c r="G3" s="196"/>
      <c r="I3" s="195" t="s">
        <v>312</v>
      </c>
      <c r="J3" s="196"/>
      <c r="K3" s="195"/>
      <c r="L3" s="197"/>
      <c r="M3" s="197"/>
      <c r="N3" s="197"/>
      <c r="O3" s="196"/>
      <c r="Q3" s="195" t="s">
        <v>314</v>
      </c>
      <c r="R3" s="196"/>
      <c r="S3" s="195"/>
      <c r="T3" s="197"/>
      <c r="U3" s="197"/>
      <c r="V3" s="197"/>
      <c r="W3" s="196"/>
    </row>
    <row r="4" spans="1:23" ht="45" customHeight="1" x14ac:dyDescent="0.25">
      <c r="A4" s="94" t="s">
        <v>255</v>
      </c>
      <c r="B4" s="95" t="s">
        <v>7</v>
      </c>
      <c r="C4" s="95" t="s">
        <v>256</v>
      </c>
      <c r="D4" s="95" t="s">
        <v>6</v>
      </c>
      <c r="E4" s="95" t="s">
        <v>8</v>
      </c>
      <c r="F4" s="95" t="s">
        <v>257</v>
      </c>
      <c r="G4" s="96" t="s">
        <v>9</v>
      </c>
      <c r="I4" s="94" t="s">
        <v>255</v>
      </c>
      <c r="J4" s="95" t="s">
        <v>7</v>
      </c>
      <c r="K4" s="95" t="s">
        <v>256</v>
      </c>
      <c r="L4" s="95" t="s">
        <v>6</v>
      </c>
      <c r="M4" s="95" t="s">
        <v>8</v>
      </c>
      <c r="N4" s="95" t="s">
        <v>257</v>
      </c>
      <c r="O4" s="96" t="s">
        <v>9</v>
      </c>
      <c r="Q4" s="94" t="s">
        <v>255</v>
      </c>
      <c r="R4" s="95" t="s">
        <v>7</v>
      </c>
      <c r="S4" s="95" t="s">
        <v>256</v>
      </c>
      <c r="T4" s="95" t="s">
        <v>6</v>
      </c>
      <c r="U4" s="95" t="s">
        <v>8</v>
      </c>
      <c r="V4" s="95" t="s">
        <v>257</v>
      </c>
      <c r="W4" s="96" t="s">
        <v>9</v>
      </c>
    </row>
    <row r="5" spans="1:23" ht="30" x14ac:dyDescent="0.25">
      <c r="A5" s="97" t="s">
        <v>539</v>
      </c>
      <c r="B5" s="100"/>
      <c r="C5" s="97" t="s">
        <v>259</v>
      </c>
      <c r="D5" s="103" t="s">
        <v>540</v>
      </c>
      <c r="E5" s="106" t="s">
        <v>334</v>
      </c>
      <c r="F5" s="107" t="s">
        <v>401</v>
      </c>
      <c r="G5" s="112"/>
      <c r="I5" s="97" t="s">
        <v>550</v>
      </c>
      <c r="J5" s="100"/>
      <c r="K5" s="97" t="s">
        <v>259</v>
      </c>
      <c r="L5" s="103" t="s">
        <v>551</v>
      </c>
      <c r="M5" s="106" t="s">
        <v>260</v>
      </c>
      <c r="N5" s="107" t="s">
        <v>16</v>
      </c>
      <c r="O5" s="112"/>
      <c r="Q5" s="17" t="s">
        <v>556</v>
      </c>
      <c r="R5" s="20"/>
      <c r="S5" s="17" t="s">
        <v>259</v>
      </c>
      <c r="T5" s="115" t="s">
        <v>557</v>
      </c>
      <c r="U5" s="116" t="s">
        <v>260</v>
      </c>
      <c r="V5" s="117" t="s">
        <v>16</v>
      </c>
      <c r="W5" s="118"/>
    </row>
    <row r="6" spans="1:23" ht="30" x14ac:dyDescent="0.25">
      <c r="A6" s="98" t="s">
        <v>541</v>
      </c>
      <c r="B6" s="101"/>
      <c r="C6" s="98" t="s">
        <v>259</v>
      </c>
      <c r="D6" s="104" t="s">
        <v>542</v>
      </c>
      <c r="E6" s="108" t="s">
        <v>334</v>
      </c>
      <c r="F6" s="109" t="s">
        <v>401</v>
      </c>
      <c r="G6" s="113"/>
      <c r="I6" s="98" t="s">
        <v>552</v>
      </c>
      <c r="J6" s="101"/>
      <c r="K6" s="98" t="s">
        <v>259</v>
      </c>
      <c r="L6" s="104" t="s">
        <v>553</v>
      </c>
      <c r="M6" s="108" t="s">
        <v>261</v>
      </c>
      <c r="N6" s="109" t="s">
        <v>265</v>
      </c>
      <c r="O6" s="113"/>
    </row>
    <row r="7" spans="1:23" ht="30" x14ac:dyDescent="0.25">
      <c r="A7" s="98" t="s">
        <v>543</v>
      </c>
      <c r="B7" s="101"/>
      <c r="C7" s="98" t="s">
        <v>259</v>
      </c>
      <c r="D7" s="104" t="s">
        <v>544</v>
      </c>
      <c r="E7" s="108" t="s">
        <v>334</v>
      </c>
      <c r="F7" s="109" t="s">
        <v>401</v>
      </c>
      <c r="G7" s="113"/>
      <c r="I7" s="99" t="s">
        <v>554</v>
      </c>
      <c r="J7" s="102"/>
      <c r="K7" s="99" t="s">
        <v>259</v>
      </c>
      <c r="L7" s="105" t="s">
        <v>555</v>
      </c>
      <c r="M7" s="110" t="s">
        <v>261</v>
      </c>
      <c r="N7" s="111" t="s">
        <v>265</v>
      </c>
      <c r="O7" s="114"/>
    </row>
    <row r="8" spans="1:23" ht="30" x14ac:dyDescent="0.25">
      <c r="A8" s="98" t="s">
        <v>545</v>
      </c>
      <c r="B8" s="101"/>
      <c r="C8" s="98" t="s">
        <v>259</v>
      </c>
      <c r="D8" s="104" t="s">
        <v>546</v>
      </c>
      <c r="E8" s="108" t="s">
        <v>334</v>
      </c>
      <c r="F8" s="109" t="s">
        <v>401</v>
      </c>
      <c r="G8" s="113"/>
    </row>
    <row r="9" spans="1:23" ht="30" x14ac:dyDescent="0.25">
      <c r="A9" s="98" t="s">
        <v>547</v>
      </c>
      <c r="B9" s="101"/>
      <c r="C9" s="98" t="s">
        <v>259</v>
      </c>
      <c r="D9" s="104" t="s">
        <v>548</v>
      </c>
      <c r="E9" s="108" t="s">
        <v>334</v>
      </c>
      <c r="F9" s="109" t="s">
        <v>401</v>
      </c>
      <c r="G9" s="113"/>
    </row>
    <row r="10" spans="1:23" x14ac:dyDescent="0.25">
      <c r="A10" s="99" t="s">
        <v>268</v>
      </c>
      <c r="B10" s="102"/>
      <c r="C10" s="99" t="s">
        <v>259</v>
      </c>
      <c r="D10" s="105" t="s">
        <v>549</v>
      </c>
      <c r="E10" s="110" t="s">
        <v>260</v>
      </c>
      <c r="F10" s="111" t="s">
        <v>16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413</v>
      </c>
    </row>
    <row r="2" spans="1:37" x14ac:dyDescent="0.25">
      <c r="A2" s="192" t="s">
        <v>315</v>
      </c>
      <c r="B2" s="193"/>
      <c r="C2" s="193"/>
      <c r="D2" s="193"/>
      <c r="E2" s="193"/>
      <c r="F2" s="193"/>
      <c r="G2" s="193"/>
      <c r="H2" s="193"/>
      <c r="I2" s="194"/>
      <c r="K2" s="192" t="s">
        <v>317</v>
      </c>
      <c r="L2" s="193"/>
      <c r="M2" s="193"/>
      <c r="N2" s="193"/>
      <c r="O2" s="193"/>
      <c r="P2" s="193"/>
      <c r="Q2" s="193"/>
      <c r="R2" s="193"/>
      <c r="S2" s="194"/>
      <c r="U2" s="192" t="s">
        <v>318</v>
      </c>
      <c r="V2" s="193"/>
      <c r="W2" s="193"/>
      <c r="X2" s="193"/>
      <c r="Y2" s="193"/>
      <c r="Z2" s="193"/>
      <c r="AA2" s="193"/>
      <c r="AB2" s="193"/>
      <c r="AC2" s="194"/>
      <c r="AE2" s="192" t="s">
        <v>319</v>
      </c>
      <c r="AF2" s="193"/>
      <c r="AG2" s="193"/>
      <c r="AH2" s="193"/>
      <c r="AI2" s="193"/>
      <c r="AJ2" s="193"/>
      <c r="AK2" s="194"/>
    </row>
    <row r="3" spans="1:37" x14ac:dyDescent="0.25">
      <c r="A3" s="195" t="s">
        <v>558</v>
      </c>
      <c r="B3" s="196"/>
      <c r="C3" s="195" t="s">
        <v>559</v>
      </c>
      <c r="D3" s="196"/>
      <c r="E3" s="195"/>
      <c r="F3" s="197"/>
      <c r="G3" s="197"/>
      <c r="H3" s="197"/>
      <c r="I3" s="196"/>
      <c r="K3" s="195" t="s">
        <v>564</v>
      </c>
      <c r="L3" s="196"/>
      <c r="M3" s="195" t="s">
        <v>565</v>
      </c>
      <c r="N3" s="196"/>
      <c r="O3" s="195"/>
      <c r="P3" s="197"/>
      <c r="Q3" s="197"/>
      <c r="R3" s="197"/>
      <c r="S3" s="196"/>
      <c r="U3" s="195" t="s">
        <v>579</v>
      </c>
      <c r="V3" s="196"/>
      <c r="W3" s="195" t="s">
        <v>580</v>
      </c>
      <c r="X3" s="196"/>
      <c r="Y3" s="195"/>
      <c r="Z3" s="197"/>
      <c r="AA3" s="197"/>
      <c r="AB3" s="197"/>
      <c r="AC3" s="196"/>
      <c r="AE3" s="195" t="s">
        <v>320</v>
      </c>
      <c r="AF3" s="196"/>
      <c r="AG3" s="195"/>
      <c r="AH3" s="197"/>
      <c r="AI3" s="197"/>
      <c r="AJ3" s="197"/>
      <c r="AK3" s="196"/>
    </row>
    <row r="4" spans="1:37" ht="45" customHeight="1" x14ac:dyDescent="0.25">
      <c r="A4" s="94" t="s">
        <v>255</v>
      </c>
      <c r="B4" s="95" t="s">
        <v>7</v>
      </c>
      <c r="C4" s="95" t="s">
        <v>255</v>
      </c>
      <c r="D4" s="95" t="s">
        <v>7</v>
      </c>
      <c r="E4" s="95" t="s">
        <v>256</v>
      </c>
      <c r="F4" s="95" t="s">
        <v>6</v>
      </c>
      <c r="G4" s="95" t="s">
        <v>8</v>
      </c>
      <c r="H4" s="95" t="s">
        <v>257</v>
      </c>
      <c r="I4" s="96" t="s">
        <v>9</v>
      </c>
      <c r="K4" s="94" t="s">
        <v>255</v>
      </c>
      <c r="L4" s="95" t="s">
        <v>7</v>
      </c>
      <c r="M4" s="95" t="s">
        <v>255</v>
      </c>
      <c r="N4" s="95" t="s">
        <v>7</v>
      </c>
      <c r="O4" s="95" t="s">
        <v>256</v>
      </c>
      <c r="P4" s="95" t="s">
        <v>6</v>
      </c>
      <c r="Q4" s="95" t="s">
        <v>8</v>
      </c>
      <c r="R4" s="95" t="s">
        <v>257</v>
      </c>
      <c r="S4" s="96" t="s">
        <v>9</v>
      </c>
      <c r="U4" s="94" t="s">
        <v>255</v>
      </c>
      <c r="V4" s="95" t="s">
        <v>7</v>
      </c>
      <c r="W4" s="95" t="s">
        <v>255</v>
      </c>
      <c r="X4" s="95" t="s">
        <v>7</v>
      </c>
      <c r="Y4" s="95" t="s">
        <v>256</v>
      </c>
      <c r="Z4" s="95" t="s">
        <v>6</v>
      </c>
      <c r="AA4" s="95" t="s">
        <v>8</v>
      </c>
      <c r="AB4" s="95" t="s">
        <v>257</v>
      </c>
      <c r="AC4" s="96" t="s">
        <v>9</v>
      </c>
      <c r="AE4" s="94" t="s">
        <v>255</v>
      </c>
      <c r="AF4" s="95" t="s">
        <v>7</v>
      </c>
      <c r="AG4" s="95" t="s">
        <v>256</v>
      </c>
      <c r="AH4" s="95" t="s">
        <v>6</v>
      </c>
      <c r="AI4" s="95" t="s">
        <v>8</v>
      </c>
      <c r="AJ4" s="95" t="s">
        <v>257</v>
      </c>
      <c r="AK4" s="96" t="s">
        <v>9</v>
      </c>
    </row>
    <row r="5" spans="1:37" ht="30" x14ac:dyDescent="0.25">
      <c r="A5" s="97" t="s">
        <v>416</v>
      </c>
      <c r="B5" s="100"/>
      <c r="C5" s="97" t="s">
        <v>264</v>
      </c>
      <c r="D5" s="97" t="s">
        <v>264</v>
      </c>
      <c r="E5" s="97" t="s">
        <v>259</v>
      </c>
      <c r="F5" s="103" t="s">
        <v>417</v>
      </c>
      <c r="G5" s="106" t="s">
        <v>334</v>
      </c>
      <c r="H5" s="107" t="s">
        <v>418</v>
      </c>
      <c r="I5" s="112"/>
      <c r="K5" s="97" t="s">
        <v>264</v>
      </c>
      <c r="L5" s="97" t="s">
        <v>264</v>
      </c>
      <c r="M5" s="97" t="s">
        <v>566</v>
      </c>
      <c r="N5" s="100"/>
      <c r="O5" s="97" t="s">
        <v>259</v>
      </c>
      <c r="P5" s="103" t="s">
        <v>567</v>
      </c>
      <c r="Q5" s="106" t="s">
        <v>334</v>
      </c>
      <c r="R5" s="107" t="s">
        <v>568</v>
      </c>
      <c r="S5" s="112"/>
      <c r="U5" s="97" t="s">
        <v>264</v>
      </c>
      <c r="V5" s="97" t="s">
        <v>264</v>
      </c>
      <c r="W5" s="97" t="s">
        <v>581</v>
      </c>
      <c r="X5" s="100"/>
      <c r="Y5" s="97" t="s">
        <v>259</v>
      </c>
      <c r="Z5" s="103" t="s">
        <v>582</v>
      </c>
      <c r="AA5" s="106" t="s">
        <v>334</v>
      </c>
      <c r="AB5" s="107" t="s">
        <v>568</v>
      </c>
      <c r="AC5" s="112"/>
      <c r="AE5" s="97" t="s">
        <v>593</v>
      </c>
      <c r="AF5" s="100"/>
      <c r="AG5" s="97" t="s">
        <v>259</v>
      </c>
      <c r="AH5" s="103" t="s">
        <v>594</v>
      </c>
      <c r="AI5" s="106" t="s">
        <v>261</v>
      </c>
      <c r="AJ5" s="107" t="s">
        <v>265</v>
      </c>
      <c r="AK5" s="112"/>
    </row>
    <row r="6" spans="1:37" ht="45" x14ac:dyDescent="0.25">
      <c r="A6" s="98" t="s">
        <v>560</v>
      </c>
      <c r="B6" s="101"/>
      <c r="C6" s="98" t="s">
        <v>264</v>
      </c>
      <c r="D6" s="98" t="s">
        <v>264</v>
      </c>
      <c r="E6" s="98" t="s">
        <v>258</v>
      </c>
      <c r="F6" s="104" t="s">
        <v>561</v>
      </c>
      <c r="G6" s="108" t="s">
        <v>16</v>
      </c>
      <c r="H6" s="109" t="s">
        <v>16</v>
      </c>
      <c r="I6" s="113"/>
      <c r="K6" s="98" t="s">
        <v>264</v>
      </c>
      <c r="L6" s="98" t="s">
        <v>264</v>
      </c>
      <c r="M6" s="98" t="s">
        <v>569</v>
      </c>
      <c r="N6" s="101"/>
      <c r="O6" s="98" t="s">
        <v>259</v>
      </c>
      <c r="P6" s="104" t="s">
        <v>570</v>
      </c>
      <c r="Q6" s="108" t="s">
        <v>260</v>
      </c>
      <c r="R6" s="109" t="s">
        <v>16</v>
      </c>
      <c r="S6" s="113"/>
      <c r="U6" s="98" t="s">
        <v>264</v>
      </c>
      <c r="V6" s="98" t="s">
        <v>264</v>
      </c>
      <c r="W6" s="98" t="s">
        <v>583</v>
      </c>
      <c r="X6" s="101"/>
      <c r="Y6" s="98" t="s">
        <v>259</v>
      </c>
      <c r="Z6" s="104" t="s">
        <v>584</v>
      </c>
      <c r="AA6" s="108" t="s">
        <v>260</v>
      </c>
      <c r="AB6" s="109" t="s">
        <v>16</v>
      </c>
      <c r="AC6" s="113"/>
      <c r="AE6" s="98" t="s">
        <v>595</v>
      </c>
      <c r="AF6" s="101"/>
      <c r="AG6" s="98" t="s">
        <v>259</v>
      </c>
      <c r="AH6" s="104" t="s">
        <v>596</v>
      </c>
      <c r="AI6" s="108" t="s">
        <v>261</v>
      </c>
      <c r="AJ6" s="109" t="s">
        <v>265</v>
      </c>
      <c r="AK6" s="113"/>
    </row>
    <row r="7" spans="1:37" ht="30" x14ac:dyDescent="0.25">
      <c r="A7" s="98" t="s">
        <v>419</v>
      </c>
      <c r="B7" s="101"/>
      <c r="C7" s="98" t="s">
        <v>264</v>
      </c>
      <c r="D7" s="98" t="s">
        <v>264</v>
      </c>
      <c r="E7" s="98" t="s">
        <v>259</v>
      </c>
      <c r="F7" s="104" t="s">
        <v>410</v>
      </c>
      <c r="G7" s="108" t="s">
        <v>260</v>
      </c>
      <c r="H7" s="109" t="s">
        <v>16</v>
      </c>
      <c r="I7" s="113"/>
      <c r="K7" s="98" t="s">
        <v>264</v>
      </c>
      <c r="L7" s="98" t="s">
        <v>264</v>
      </c>
      <c r="M7" s="98" t="s">
        <v>571</v>
      </c>
      <c r="N7" s="101"/>
      <c r="O7" s="98" t="s">
        <v>259</v>
      </c>
      <c r="P7" s="104" t="s">
        <v>572</v>
      </c>
      <c r="Q7" s="108" t="s">
        <v>260</v>
      </c>
      <c r="R7" s="109" t="s">
        <v>16</v>
      </c>
      <c r="S7" s="113"/>
      <c r="U7" s="98" t="s">
        <v>264</v>
      </c>
      <c r="V7" s="98" t="s">
        <v>264</v>
      </c>
      <c r="W7" s="98" t="s">
        <v>585</v>
      </c>
      <c r="X7" s="101"/>
      <c r="Y7" s="98" t="s">
        <v>259</v>
      </c>
      <c r="Z7" s="104" t="s">
        <v>586</v>
      </c>
      <c r="AA7" s="108" t="s">
        <v>260</v>
      </c>
      <c r="AB7" s="109" t="s">
        <v>16</v>
      </c>
      <c r="AC7" s="113"/>
      <c r="AE7" s="98" t="s">
        <v>597</v>
      </c>
      <c r="AF7" s="101"/>
      <c r="AG7" s="98" t="s">
        <v>259</v>
      </c>
      <c r="AH7" s="104" t="s">
        <v>598</v>
      </c>
      <c r="AI7" s="108" t="s">
        <v>261</v>
      </c>
      <c r="AJ7" s="109" t="s">
        <v>568</v>
      </c>
      <c r="AK7" s="113"/>
    </row>
    <row r="8" spans="1:37" ht="30" x14ac:dyDescent="0.25">
      <c r="A8" s="98" t="s">
        <v>420</v>
      </c>
      <c r="B8" s="101"/>
      <c r="C8" s="98" t="s">
        <v>264</v>
      </c>
      <c r="D8" s="98" t="s">
        <v>264</v>
      </c>
      <c r="E8" s="98" t="s">
        <v>259</v>
      </c>
      <c r="F8" s="104" t="s">
        <v>360</v>
      </c>
      <c r="G8" s="108" t="s">
        <v>260</v>
      </c>
      <c r="H8" s="109" t="s">
        <v>16</v>
      </c>
      <c r="I8" s="113"/>
      <c r="K8" s="98" t="s">
        <v>264</v>
      </c>
      <c r="L8" s="98" t="s">
        <v>264</v>
      </c>
      <c r="M8" s="98" t="s">
        <v>573</v>
      </c>
      <c r="N8" s="101"/>
      <c r="O8" s="98" t="s">
        <v>259</v>
      </c>
      <c r="P8" s="104" t="s">
        <v>574</v>
      </c>
      <c r="Q8" s="108" t="s">
        <v>260</v>
      </c>
      <c r="R8" s="109" t="s">
        <v>16</v>
      </c>
      <c r="S8" s="113"/>
      <c r="U8" s="98" t="s">
        <v>264</v>
      </c>
      <c r="V8" s="98" t="s">
        <v>264</v>
      </c>
      <c r="W8" s="98" t="s">
        <v>587</v>
      </c>
      <c r="X8" s="101"/>
      <c r="Y8" s="98" t="s">
        <v>259</v>
      </c>
      <c r="Z8" s="104" t="s">
        <v>588</v>
      </c>
      <c r="AA8" s="108" t="s">
        <v>260</v>
      </c>
      <c r="AB8" s="109" t="s">
        <v>16</v>
      </c>
      <c r="AC8" s="113"/>
      <c r="AE8" s="99" t="s">
        <v>599</v>
      </c>
      <c r="AF8" s="102"/>
      <c r="AG8" s="99" t="s">
        <v>259</v>
      </c>
      <c r="AH8" s="105" t="s">
        <v>600</v>
      </c>
      <c r="AI8" s="110" t="s">
        <v>261</v>
      </c>
      <c r="AJ8" s="111" t="s">
        <v>568</v>
      </c>
      <c r="AK8" s="114"/>
    </row>
    <row r="9" spans="1:37" ht="30" x14ac:dyDescent="0.25">
      <c r="A9" s="99" t="s">
        <v>562</v>
      </c>
      <c r="B9" s="102"/>
      <c r="C9" s="99" t="s">
        <v>264</v>
      </c>
      <c r="D9" s="99" t="s">
        <v>264</v>
      </c>
      <c r="E9" s="99" t="s">
        <v>259</v>
      </c>
      <c r="F9" s="105" t="s">
        <v>563</v>
      </c>
      <c r="G9" s="110" t="s">
        <v>260</v>
      </c>
      <c r="H9" s="111" t="s">
        <v>16</v>
      </c>
      <c r="I9" s="114"/>
      <c r="K9" s="98" t="s">
        <v>264</v>
      </c>
      <c r="L9" s="98" t="s">
        <v>264</v>
      </c>
      <c r="M9" s="98" t="s">
        <v>575</v>
      </c>
      <c r="N9" s="101"/>
      <c r="O9" s="98" t="s">
        <v>259</v>
      </c>
      <c r="P9" s="104" t="s">
        <v>576</v>
      </c>
      <c r="Q9" s="108" t="s">
        <v>260</v>
      </c>
      <c r="R9" s="109" t="s">
        <v>16</v>
      </c>
      <c r="S9" s="113"/>
      <c r="U9" s="98" t="s">
        <v>264</v>
      </c>
      <c r="V9" s="98" t="s">
        <v>264</v>
      </c>
      <c r="W9" s="98" t="s">
        <v>589</v>
      </c>
      <c r="X9" s="101"/>
      <c r="Y9" s="98" t="s">
        <v>259</v>
      </c>
      <c r="Z9" s="104" t="s">
        <v>590</v>
      </c>
      <c r="AA9" s="108" t="s">
        <v>260</v>
      </c>
      <c r="AB9" s="109" t="s">
        <v>16</v>
      </c>
      <c r="AC9" s="113"/>
    </row>
    <row r="10" spans="1:37" ht="30" x14ac:dyDescent="0.25">
      <c r="K10" s="99" t="s">
        <v>264</v>
      </c>
      <c r="L10" s="99" t="s">
        <v>264</v>
      </c>
      <c r="M10" s="99" t="s">
        <v>577</v>
      </c>
      <c r="N10" s="102"/>
      <c r="O10" s="99" t="s">
        <v>259</v>
      </c>
      <c r="P10" s="105" t="s">
        <v>578</v>
      </c>
      <c r="Q10" s="110" t="s">
        <v>260</v>
      </c>
      <c r="R10" s="111" t="s">
        <v>16</v>
      </c>
      <c r="S10" s="114"/>
      <c r="U10" s="99" t="s">
        <v>264</v>
      </c>
      <c r="V10" s="99" t="s">
        <v>264</v>
      </c>
      <c r="W10" s="99" t="s">
        <v>591</v>
      </c>
      <c r="X10" s="102"/>
      <c r="Y10" s="99" t="s">
        <v>259</v>
      </c>
      <c r="Z10" s="105" t="s">
        <v>592</v>
      </c>
      <c r="AA10" s="110" t="s">
        <v>260</v>
      </c>
      <c r="AB10" s="111" t="s">
        <v>16</v>
      </c>
      <c r="AC10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413</v>
      </c>
    </row>
    <row r="2" spans="1:9" x14ac:dyDescent="0.25">
      <c r="A2" s="192" t="s">
        <v>321</v>
      </c>
      <c r="B2" s="193"/>
      <c r="C2" s="193"/>
      <c r="D2" s="193"/>
      <c r="E2" s="193"/>
      <c r="F2" s="193"/>
      <c r="G2" s="193"/>
      <c r="H2" s="193"/>
      <c r="I2" s="194"/>
    </row>
    <row r="3" spans="1:9" x14ac:dyDescent="0.25">
      <c r="A3" s="195" t="s">
        <v>601</v>
      </c>
      <c r="B3" s="196"/>
      <c r="C3" s="195" t="s">
        <v>602</v>
      </c>
      <c r="D3" s="196"/>
      <c r="E3" s="195"/>
      <c r="F3" s="197"/>
      <c r="G3" s="197"/>
      <c r="H3" s="197"/>
      <c r="I3" s="196"/>
    </row>
    <row r="4" spans="1:9" ht="45" customHeight="1" x14ac:dyDescent="0.25">
      <c r="A4" s="94" t="s">
        <v>255</v>
      </c>
      <c r="B4" s="95" t="s">
        <v>7</v>
      </c>
      <c r="C4" s="95" t="s">
        <v>255</v>
      </c>
      <c r="D4" s="95" t="s">
        <v>7</v>
      </c>
      <c r="E4" s="95" t="s">
        <v>256</v>
      </c>
      <c r="F4" s="95" t="s">
        <v>6</v>
      </c>
      <c r="G4" s="95" t="s">
        <v>8</v>
      </c>
      <c r="H4" s="95" t="s">
        <v>257</v>
      </c>
      <c r="I4" s="96" t="s">
        <v>9</v>
      </c>
    </row>
    <row r="5" spans="1:9" x14ac:dyDescent="0.25">
      <c r="A5" s="97" t="s">
        <v>264</v>
      </c>
      <c r="B5" s="97" t="s">
        <v>264</v>
      </c>
      <c r="C5" s="97" t="s">
        <v>603</v>
      </c>
      <c r="D5" s="100"/>
      <c r="E5" s="97" t="s">
        <v>259</v>
      </c>
      <c r="F5" s="103" t="s">
        <v>604</v>
      </c>
      <c r="G5" s="106" t="s">
        <v>260</v>
      </c>
      <c r="H5" s="107" t="s">
        <v>16</v>
      </c>
      <c r="I5" s="112"/>
    </row>
    <row r="6" spans="1:9" x14ac:dyDescent="0.25">
      <c r="A6" s="98" t="s">
        <v>264</v>
      </c>
      <c r="B6" s="98" t="s">
        <v>264</v>
      </c>
      <c r="C6" s="98" t="s">
        <v>605</v>
      </c>
      <c r="D6" s="101"/>
      <c r="E6" s="98" t="s">
        <v>259</v>
      </c>
      <c r="F6" s="104" t="s">
        <v>606</v>
      </c>
      <c r="G6" s="108" t="s">
        <v>260</v>
      </c>
      <c r="H6" s="109" t="s">
        <v>16</v>
      </c>
      <c r="I6" s="113"/>
    </row>
    <row r="7" spans="1:9" x14ac:dyDescent="0.25">
      <c r="A7" s="98" t="s">
        <v>264</v>
      </c>
      <c r="B7" s="98" t="s">
        <v>264</v>
      </c>
      <c r="C7" s="98" t="s">
        <v>607</v>
      </c>
      <c r="D7" s="101"/>
      <c r="E7" s="98" t="s">
        <v>259</v>
      </c>
      <c r="F7" s="104" t="s">
        <v>608</v>
      </c>
      <c r="G7" s="108" t="s">
        <v>261</v>
      </c>
      <c r="H7" s="109" t="s">
        <v>609</v>
      </c>
      <c r="I7" s="113"/>
    </row>
    <row r="8" spans="1:9" x14ac:dyDescent="0.25">
      <c r="A8" s="99" t="s">
        <v>264</v>
      </c>
      <c r="B8" s="99" t="s">
        <v>264</v>
      </c>
      <c r="C8" s="99" t="s">
        <v>610</v>
      </c>
      <c r="D8" s="102"/>
      <c r="E8" s="99" t="s">
        <v>259</v>
      </c>
      <c r="F8" s="105" t="s">
        <v>611</v>
      </c>
      <c r="G8" s="110" t="s">
        <v>261</v>
      </c>
      <c r="H8" s="111" t="s">
        <v>609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terms/"/>
    <ds:schemaRef ds:uri="http://purl.org/dc/elements/1.1/"/>
    <ds:schemaRef ds:uri="52c48426-2654-4c9a-9bdb-60aa3014dcae"/>
    <ds:schemaRef ds:uri="http://schemas.openxmlformats.org/package/2006/metadata/core-properties"/>
    <ds:schemaRef ds:uri="51adfaa8-d6ed-4f56-906c-6f43d69d8912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2026-09-21T10:44:01Z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