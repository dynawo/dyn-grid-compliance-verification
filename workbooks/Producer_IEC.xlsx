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<sst xmlns="http://schemas.openxmlformats.org/spreadsheetml/2006/main" count="1899" uniqueCount="745">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</sst>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1.1000000000000001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50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0.1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1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0.4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-0.4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f>Zone1a!C19*Zone1a!C20</f>
        <v>55.000000000000007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62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63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50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>
        <v>0</v>
      </c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>
        <v>0</v>
      </c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16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-16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0.18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1.1000000000000001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0.1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1.5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2.5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/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/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/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/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/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/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/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/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178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/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/>
      <c r="I6" s="11"/>
      <c r="L6" s="12"/>
    </row>
    <row r="7" spans="1:12" ht="43.5" customHeight="1">
      <c r="A7" s="38" t="s">
        <v>215</v>
      </c>
      <c r="B7" s="8" t="s">
        <v>213</v>
      </c>
      <c r="C7" s="39"/>
      <c r="I7" s="11"/>
      <c r="L7" s="12"/>
    </row>
    <row r="8" spans="1:12" ht="43.5" customHeight="1">
      <c r="A8" s="38" t="s">
        <v>216</v>
      </c>
      <c r="B8" s="8" t="s">
        <v>217</v>
      </c>
      <c r="C8" s="39"/>
      <c r="I8" s="11"/>
      <c r="L8" s="12"/>
    </row>
    <row r="9" spans="1:12" ht="43.5" customHeight="1">
      <c r="A9" s="38" t="s">
        <v>218</v>
      </c>
      <c r="B9" s="8" t="s">
        <v>219</v>
      </c>
      <c r="C9" s="39"/>
      <c r="I9" s="11"/>
      <c r="L9" s="12"/>
    </row>
    <row r="10" spans="1:12" ht="43.5" customHeight="1">
      <c r="A10" s="38" t="s">
        <v>220</v>
      </c>
      <c r="B10" s="8" t="s">
        <v>211</v>
      </c>
      <c r="C10" s="39"/>
      <c r="I10" s="11"/>
      <c r="L10" s="12"/>
    </row>
    <row r="11" spans="1:12" ht="43.5" customHeight="1">
      <c r="A11" s="38" t="s">
        <v>221</v>
      </c>
      <c r="B11" s="8" t="s">
        <v>211</v>
      </c>
      <c r="C11" s="39"/>
      <c r="I11" s="11"/>
      <c r="L11" s="12"/>
    </row>
    <row r="12" spans="1:12" ht="43.5" customHeight="1">
      <c r="A12" s="38" t="s">
        <v>222</v>
      </c>
      <c r="B12" s="8" t="s">
        <v>18</v>
      </c>
      <c r="C12" s="39"/>
      <c r="I12" s="11"/>
      <c r="L12" s="12"/>
    </row>
    <row r="13" spans="1:12" ht="43.5" customHeight="1">
      <c r="A13" s="40" t="s">
        <v>223</v>
      </c>
      <c r="B13" s="57" t="s">
        <v>224</v>
      </c>
      <c r="C13" s="42"/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178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/>
      <c r="I21" s="136"/>
      <c r="J21" s="132"/>
      <c r="K21" s="132"/>
      <c r="L21" s="137"/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/>
      <c r="I22" s="136"/>
      <c r="J22" s="132"/>
      <c r="K22" s="132"/>
      <c r="L22" s="137"/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/>
      <c r="I23" s="136"/>
      <c r="J23" s="132"/>
      <c r="K23" s="132"/>
      <c r="L23" s="137"/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/>
      <c r="I24" s="136"/>
      <c r="J24" s="132"/>
      <c r="K24" s="132"/>
      <c r="L24" s="137"/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/>
      <c r="I25" s="136"/>
      <c r="J25" s="132"/>
      <c r="K25" s="132"/>
      <c r="L25" s="137"/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/>
      <c r="I26" s="136"/>
      <c r="J26" s="132"/>
      <c r="K26" s="132"/>
      <c r="L26" s="137"/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/>
      <c r="I27" s="136"/>
      <c r="J27" s="132"/>
      <c r="K27" s="132"/>
      <c r="L27" s="137"/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/>
      <c r="I28" s="136"/>
      <c r="J28" s="132"/>
      <c r="K28" s="132"/>
      <c r="L28" s="137"/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/>
      <c r="I29" s="136"/>
      <c r="J29" s="132"/>
      <c r="K29" s="132"/>
      <c r="L29" s="137"/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/>
      <c r="I30" s="136"/>
      <c r="J30" s="132"/>
      <c r="K30" s="132"/>
      <c r="L30" s="137"/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/>
      <c r="I31" s="136"/>
      <c r="J31" s="132"/>
      <c r="K31" s="132"/>
      <c r="L31" s="137"/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tr">
        <f>TRIM($B$3)&amp;"|"&amp;TRIM($B$4)</f>
        <v>4B|2015</v>
      </c>
      <c r="F3" s="89" t="str">
        <f>IFERROR(VLOOKUP($E$3,'Model Map'!$A$4:$E$200,2,FALSE),"(modèle inconnu)")</f>
        <v>IECWPP4BCurrentSource2015</v>
      </c>
      <c r="G3" s="89" t="str">
        <f>IFERROR(VLOOKUP($E$3,'Model Map'!$A$4:$E$200,3,FALSE),"")</f>
        <v>WPP_</v>
      </c>
      <c r="H3" s="89" t="str">
        <f>IFERROR(VLOOKUP($E$3,'Model Map'!$A$4:$E$200,4,FALSE),"(modèle inconnu)")</f>
        <v>IECWT4BCurrentSource2015</v>
      </c>
      <c r="I3" s="89" t="str">
        <f>IFERROR(VLOOKUP($E$3,'Model Map'!$A$4:$E$200,5,FALSE),"")</f>
        <v>WT_</v>
      </c>
    </row>
    <row r="4" spans="1:9" ht="15.75">
      <c r="A4" s="89" t="s">
        <v>292</v>
      </c>
      <c r="B4" s="91" t="s">
        <v>269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tr">
        <f>"PControlWP_"&amp;$B$4</f>
        <v>PControlWP_2015</v>
      </c>
      <c r="C7" s="89" t="s">
        <v>298</v>
      </c>
      <c r="D7" s="89" t="s">
        <v>299</v>
      </c>
    </row>
    <row r="8" spans="1:9" ht="31.5">
      <c r="A8" s="89" t="s">
        <v>300</v>
      </c>
      <c r="B8" s="89" t="str">
        <f>"QControlWP_"&amp;$B$4</f>
        <v>QControlWP_2015</v>
      </c>
      <c r="C8" s="89" t="s">
        <v>298</v>
      </c>
      <c r="D8" s="89" t="s">
        <v>299</v>
      </c>
    </row>
    <row r="9" spans="1:9" ht="15.75">
      <c r="A9" s="89" t="s">
        <v>301</v>
      </c>
      <c r="B9" s="89" t="str">
        <f>"MeasurementWP_"&amp;$B$4</f>
        <v>MeasurementWP_2015</v>
      </c>
      <c r="C9" s="89" t="s">
        <v>298</v>
      </c>
      <c r="D9" s="89" t="s">
        <v>302</v>
      </c>
    </row>
    <row r="10" spans="1:9" ht="31.5">
      <c r="A10" s="89" t="s">
        <v>303</v>
      </c>
      <c r="B10" s="89" t="str">
        <f>"LinearCommunication_"&amp;$B$4</f>
        <v>LinearCommunication_2015</v>
      </c>
      <c r="C10" s="89" t="s">
        <v>298</v>
      </c>
      <c r="D10" s="89" t="s">
        <v>302</v>
      </c>
    </row>
    <row r="11" spans="1:9" ht="15.75">
      <c r="A11" s="89" t="s">
        <v>304</v>
      </c>
      <c r="B11" s="89" t="str">
        <f>"QControl_"&amp;$B$4</f>
        <v>QControl_2015</v>
      </c>
      <c r="C11" s="89" t="s">
        <v>305</v>
      </c>
      <c r="D11" s="89" t="s">
        <v>306</v>
      </c>
    </row>
    <row r="12" spans="1:9" ht="15.75">
      <c r="A12" s="89" t="s">
        <v>307</v>
      </c>
      <c r="B12" s="89" t="str">
        <f>"PControl_"&amp;$B$3&amp;$B$4</f>
        <v>PControl_4B2015</v>
      </c>
      <c r="C12" s="89" t="s">
        <v>305</v>
      </c>
      <c r="D12" s="89" t="s">
        <v>308</v>
      </c>
    </row>
    <row r="13" spans="1:9" ht="15.75">
      <c r="A13" s="89" t="s">
        <v>309</v>
      </c>
      <c r="B13" s="89" t="str">
        <f>"CurrentLimiter_"&amp;$B$4</f>
        <v>CurrentLimiter_2015</v>
      </c>
      <c r="C13" s="89" t="s">
        <v>305</v>
      </c>
      <c r="D13" s="89" t="s">
        <v>310</v>
      </c>
    </row>
    <row r="14" spans="1:9" ht="15.75">
      <c r="A14" s="89" t="s">
        <v>311</v>
      </c>
      <c r="B14" s="89" t="str">
        <f>"QLimiter_"&amp;$B$4</f>
        <v>QLimiter_2015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tr">
        <f>"UfMeasurement_"&amp;$B$4</f>
        <v>UfMeasurement_2015</v>
      </c>
      <c r="C18" s="89" t="s">
        <v>305</v>
      </c>
      <c r="D18" s="89" t="s">
        <v>320</v>
      </c>
    </row>
    <row r="19" spans="1:4" ht="15.75">
      <c r="A19" s="89" t="s">
        <v>321</v>
      </c>
      <c r="B19" s="89" t="str">
        <f>"MeasurementC_"&amp;$B$4</f>
        <v>MeasurementC_2015</v>
      </c>
      <c r="C19" s="89" t="s">
        <v>305</v>
      </c>
      <c r="D19" s="89" t="s">
        <v>320</v>
      </c>
    </row>
    <row r="20" spans="1:4" ht="15.75">
      <c r="A20" s="89" t="s">
        <v>322</v>
      </c>
      <c r="B20" s="89" t="str">
        <f>"MeasurementP_"&amp;$B$4</f>
        <v>MeasurementP_2015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tr">
        <f>"Mechanical_"&amp;$B$3</f>
        <v>Mechanical_4B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/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/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/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/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/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/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/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/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/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/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/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/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/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/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/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/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/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/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/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/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/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/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/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/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/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/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/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/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/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/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/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/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/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/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/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/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/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/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/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/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/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/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/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/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/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/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/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/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/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/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/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/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/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/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/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/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/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/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/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/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/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/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/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/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/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/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/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/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/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/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/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/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/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/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/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/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/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/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/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/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/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/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/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/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/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/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/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/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/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/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/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/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/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/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/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/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/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/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/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/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/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/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/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