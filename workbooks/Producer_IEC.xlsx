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<sst xmlns="http://schemas.openxmlformats.org/spreadsheetml/2006/main" count="1901" uniqueCount="747">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</sst>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1.1000000000000001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50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0.1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1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0.4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-0.4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f>Zone1a!C19*Zone1a!C20</f>
        <v>55.000000000000007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62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63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50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>
        <v>0</v>
      </c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>
        <v>0</v>
      </c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16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-16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0.18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1.1000000000000001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0.1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1.5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2.5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tr">
        <f>TRIM($B$3)&amp;"|"&amp;TRIM($B$4)</f>
        <v>4B|2015</v>
      </c>
      <c r="F3" s="89" t="str">
        <f>IFERROR(VLOOKUP($E$3,'Model Map'!$A$4:$E$200,2,FALSE),"(modèle inconnu)")</f>
        <v>IECWPP4BCurrentSource2015</v>
      </c>
      <c r="G3" s="89" t="str">
        <f>IFERROR(VLOOKUP($E$3,'Model Map'!$A$4:$E$200,3,FALSE),"")</f>
        <v>WPP_</v>
      </c>
      <c r="H3" s="89" t="str">
        <f>IFERROR(VLOOKUP($E$3,'Model Map'!$A$4:$E$200,4,FALSE),"(modèle inconnu)")</f>
        <v>IECWT4BCurrentSource2015</v>
      </c>
      <c r="I3" s="89" t="str">
        <f>IFERROR(VLOOKUP($E$3,'Model Map'!$A$4:$E$200,5,FALSE),"")</f>
        <v>WT_</v>
      </c>
    </row>
    <row r="4" spans="1:9" ht="15.75" x14ac:dyDescent="0.25">
      <c r="A4" s="89" t="s">
        <v>286</v>
      </c>
      <c r="B4" s="91" t="s">
        <v>263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tr">
        <f>"PControlWP_"&amp;$B$4</f>
        <v>PControlWP_2015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tr">
        <f>"QControlWP_"&amp;$B$4</f>
        <v>QControlWP_2015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tr">
        <f>"MeasurementWP_"&amp;$B$4</f>
        <v>MeasurementWP_2015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tr">
        <f>"LinearCommunication_"&amp;$B$4</f>
        <v>LinearCommunication_2015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tr">
        <f>"QControl_"&amp;$B$4</f>
        <v>QControl_2015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tr">
        <f>"PControl_"&amp;$B$3&amp;$B$4</f>
        <v>PControl_4B2015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tr">
        <f>"CurrentLimiter_"&amp;$B$4</f>
        <v>CurrentLimiter_2015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tr">
        <f>"QLimiter_"&amp;$B$4</f>
        <v>QLimiter_2015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tr">
        <f>"UfMeasurement_"&amp;$B$4</f>
        <v>UfMeasurement_2015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tr">
        <f>"MeasurementC_"&amp;$B$4</f>
        <v>MeasurementC_2015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tr">
        <f>"MeasurementP_"&amp;$B$4</f>
        <v>MeasurementP_2015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tr">
        <f>"Mechanical_"&amp;$B$3</f>
        <v>Mechanical_4B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/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/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/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/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/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/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/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/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/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/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/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/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/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/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